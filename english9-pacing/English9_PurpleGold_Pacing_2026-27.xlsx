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Year at a Glance" sheetId="2" state="visible" r:id="rId2"/>
    <sheet xmlns:r="http://schemas.openxmlformats.org/officeDocument/2006/relationships" name="Lesson Bank" sheetId="3" state="visible" r:id="rId3"/>
    <sheet xmlns:r="http://schemas.openxmlformats.org/officeDocument/2006/relationships" name="Purple" sheetId="4" state="visible" r:id="rId4"/>
    <sheet xmlns:r="http://schemas.openxmlformats.org/officeDocument/2006/relationships" name="Gold" sheetId="5" state="visible" r:id="rId5"/>
    <sheet xmlns:r="http://schemas.openxmlformats.org/officeDocument/2006/relationships" name="Assessments" sheetId="6" state="visible" r:id="rId6"/>
  </sheets>
  <definedNames>
    <definedName name="_xlnm._FilterDatabase" localSheetId="2" hidden="1">'Lesson Bank'!$A$1:$L$95</definedName>
  </definedNames>
  <calcPr calcId="124519" fullCalcOnLoad="1"/>
</workbook>
</file>

<file path=xl/styles.xml><?xml version="1.0" encoding="utf-8"?>
<styleSheet xmlns="http://schemas.openxmlformats.org/spreadsheetml/2006/main">
  <numFmts count="2">
    <numFmt numFmtId="164" formatCode="yyyy-mm-dd"/>
    <numFmt numFmtId="165" formatCode="m/d/yyyy"/>
  </numFmts>
  <fonts count="18">
    <font>
      <name val="Calibri"/>
      <family val="2"/>
      <color theme="1"/>
      <sz val="11"/>
      <scheme val="minor"/>
    </font>
    <font>
      <name val="Arial"/>
      <b val="1"/>
      <sz val="14"/>
    </font>
    <font>
      <name val="Arial"/>
      <sz val="11"/>
    </font>
    <font>
      <name val="Arial"/>
      <b val="1"/>
      <sz val="11"/>
    </font>
    <font>
      <name val="Arial"/>
      <b val="1"/>
      <color rgb="00FFFFFF"/>
    </font>
    <font>
      <name val="Arial"/>
      <sz val="10"/>
    </font>
    <font>
      <name val="Arial"/>
      <b val="1"/>
      <color rgb="00FFFFFF"/>
      <sz val="10"/>
    </font>
    <font>
      <name val="Arial"/>
      <b val="1"/>
      <sz val="10"/>
    </font>
    <font>
      <name val="Arial"/>
      <b val="1"/>
      <color rgb="00000000"/>
      <sz val="10"/>
    </font>
    <font>
      <name val="Arial"/>
      <b val="1"/>
      <color rgb="00FFFFFF"/>
      <sz val="9"/>
    </font>
    <font>
      <name val="Arial"/>
      <b val="1"/>
      <color rgb="00000000"/>
      <sz val="9"/>
    </font>
    <font>
      <name val="Arial"/>
      <i val="1"/>
      <sz val="9"/>
    </font>
    <font>
      <name val="Arial"/>
      <b val="1"/>
      <sz val="9"/>
    </font>
    <font>
      <name val="Arial"/>
      <color rgb="007A1F12"/>
      <sz val="8"/>
    </font>
    <font>
      <name val="Arial"/>
      <b val="1"/>
      <color rgb="00FFFFFF"/>
      <sz val="8"/>
    </font>
    <font>
      <name val="Arial"/>
      <b val="1"/>
      <color rgb="00000000"/>
      <sz val="8"/>
    </font>
    <font>
      <name val="Arial"/>
      <b val="1"/>
      <sz val="8"/>
    </font>
    <font>
      <name val="Arial"/>
      <b val="1"/>
    </font>
  </fonts>
  <fills count="13">
    <fill>
      <patternFill/>
    </fill>
    <fill>
      <patternFill patternType="gray125"/>
    </fill>
    <fill>
      <patternFill patternType="solid">
        <fgColor rgb="004A3F35"/>
      </patternFill>
    </fill>
    <fill>
      <patternFill patternType="solid">
        <fgColor rgb="00D9FBF5"/>
      </patternFill>
    </fill>
    <fill>
      <patternFill patternType="solid">
        <fgColor rgb="00B8860B"/>
      </patternFill>
    </fill>
    <fill>
      <patternFill patternType="solid">
        <fgColor rgb="00FFF6C8"/>
      </patternFill>
    </fill>
    <fill>
      <patternFill patternType="solid">
        <fgColor rgb="005B2A86"/>
      </patternFill>
    </fill>
    <fill>
      <patternFill patternType="solid">
        <fgColor rgb="00BDF59A"/>
      </patternFill>
    </fill>
    <fill>
      <patternFill patternType="solid">
        <fgColor rgb="0052F2DA"/>
      </patternFill>
    </fill>
    <fill>
      <patternFill patternType="solid">
        <fgColor rgb="00F6C244"/>
      </patternFill>
    </fill>
    <fill>
      <patternFill patternType="solid">
        <fgColor rgb="00F47F6B"/>
      </patternFill>
    </fill>
    <fill>
      <patternFill patternType="solid">
        <fgColor rgb="00E6DDF2"/>
      </patternFill>
    </fill>
    <fill>
      <patternFill patternType="solid">
        <fgColor rgb="00FCEFC7"/>
      </patternFill>
    </fill>
  </fills>
  <borders count="2">
    <border>
      <left/>
      <right/>
      <top/>
      <bottom/>
      <diagonal/>
    </border>
    <border>
      <left style="thin">
        <color rgb="00B8AFA3"/>
      </left>
      <right style="thin">
        <color rgb="00B8AFA3"/>
      </right>
      <top style="thin">
        <color rgb="00B8AFA3"/>
      </top>
      <bottom style="thin">
        <color rgb="00B8AFA3"/>
      </bottom>
    </border>
  </borders>
  <cellStyleXfs count="1">
    <xf numFmtId="0" fontId="0" fillId="0" borderId="0"/>
  </cellStyleXfs>
  <cellXfs count="3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9" fillId="6" borderId="0" applyAlignment="1" pivotButton="0" quotePrefix="0" xfId="0">
      <alignment horizontal="center" vertical="center" wrapText="1"/>
    </xf>
    <xf numFmtId="0" fontId="10" fillId="9" borderId="0" applyAlignment="1" pivotButton="0" quotePrefix="0" xfId="0">
      <alignment horizontal="center" vertical="center" wrapText="1"/>
    </xf>
    <xf numFmtId="0" fontId="10" fillId="8" borderId="0" applyAlignment="1" pivotButton="0" quotePrefix="0" xfId="0">
      <alignment horizontal="center" vertical="center" wrapText="1"/>
    </xf>
    <xf numFmtId="0" fontId="10" fillId="7" borderId="0" applyAlignment="1" pivotButton="0" quotePrefix="0" xfId="0">
      <alignment horizontal="center" vertical="center" wrapText="1"/>
    </xf>
    <xf numFmtId="0" fontId="10" fillId="10" borderId="0" applyAlignment="1" pivotButton="0" quotePrefix="0" xfId="0">
      <alignment horizontal="center" vertical="center" wrapText="1"/>
    </xf>
    <xf numFmtId="0" fontId="11" fillId="0" borderId="0" pivotButton="0" quotePrefix="0" xfId="0"/>
    <xf numFmtId="0" fontId="4" fillId="2" borderId="0" applyAlignment="1" pivotButton="0" quotePrefix="0" xfId="0">
      <alignment horizontal="center" vertical="center" wrapText="1"/>
    </xf>
    <xf numFmtId="0" fontId="12" fillId="0" borderId="1" applyAlignment="1" pivotButton="0" quotePrefix="0" xfId="0">
      <alignment horizontal="center" vertical="center" wrapText="1"/>
    </xf>
    <xf numFmtId="0" fontId="0" fillId="0" borderId="1" pivotButton="0" quotePrefix="0" xfId="0"/>
    <xf numFmtId="0" fontId="13" fillId="10" borderId="1" applyAlignment="1" pivotButton="0" quotePrefix="0" xfId="0">
      <alignment horizontal="center" vertical="center" wrapText="1"/>
    </xf>
    <xf numFmtId="0" fontId="14" fillId="6" borderId="1" applyAlignment="1" pivotButton="0" quotePrefix="0" xfId="0">
      <alignment horizontal="center" vertical="center" wrapText="1"/>
    </xf>
    <xf numFmtId="0" fontId="15" fillId="9" borderId="1" applyAlignment="1" pivotButton="0" quotePrefix="0" xfId="0">
      <alignment horizontal="center" vertical="center" wrapText="1"/>
    </xf>
    <xf numFmtId="0" fontId="16" fillId="8" borderId="1" applyAlignment="1" pivotButton="0" quotePrefix="0" xfId="0">
      <alignment horizontal="center" vertical="center" wrapText="1"/>
    </xf>
    <xf numFmtId="0" fontId="15" fillId="7" borderId="1" applyAlignment="1" pivotButton="0" quotePrefix="0" xfId="0">
      <alignment horizontal="center" vertical="center" wrapText="1"/>
    </xf>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horizontal="center" vertical="center" wrapText="1"/>
    </xf>
    <xf numFmtId="165" fontId="6" fillId="6" borderId="1" applyAlignment="1" pivotButton="0" quotePrefix="0" xfId="0">
      <alignment vertical="top" wrapText="1"/>
    </xf>
    <xf numFmtId="0" fontId="5" fillId="5" borderId="1" applyAlignment="1" pivotButton="0" quotePrefix="0" xfId="0">
      <alignment vertical="top" wrapText="1"/>
    </xf>
    <xf numFmtId="0" fontId="5" fillId="7" borderId="1" applyAlignment="1" pivotButton="0" quotePrefix="0" xfId="0">
      <alignment vertical="top" wrapText="1"/>
    </xf>
    <xf numFmtId="165" fontId="7" fillId="8" borderId="1" applyAlignment="1" pivotButton="0" quotePrefix="0" xfId="0">
      <alignment vertical="top" wrapText="1"/>
    </xf>
    <xf numFmtId="165" fontId="8" fillId="9" borderId="1" applyAlignment="1" pivotButton="0" quotePrefix="0" xfId="0">
      <alignment vertical="top" wrapText="1"/>
    </xf>
    <xf numFmtId="165" fontId="5" fillId="0" borderId="1" applyAlignment="1" pivotButton="0" quotePrefix="0" xfId="0">
      <alignment vertical="top" wrapText="1"/>
    </xf>
    <xf numFmtId="165" fontId="5" fillId="11" borderId="1" applyAlignment="1" pivotButton="0" quotePrefix="0" xfId="0">
      <alignment vertical="top" wrapText="1"/>
    </xf>
    <xf numFmtId="165" fontId="5" fillId="12" borderId="1" applyAlignment="1" pivotButton="0" quotePrefix="0" xfId="0">
      <alignment vertical="top" wrapText="1"/>
    </xf>
    <xf numFmtId="165" fontId="5" fillId="5" borderId="1" pivotButton="0" quotePrefix="0" xfId="0"/>
    <xf numFmtId="0" fontId="5" fillId="5" borderId="1" pivotButton="0" quotePrefix="0" xfId="0"/>
    <xf numFmtId="165" fontId="5" fillId="8" borderId="1" applyAlignment="1" pivotButton="0" quotePrefix="0" xfId="0">
      <alignment vertical="top" wrapText="1"/>
    </xf>
    <xf numFmtId="0" fontId="17" fillId="0" borderId="0" pivotButton="0" quotePrefix="0" xfId="0"/>
    <xf numFmtId="0" fontId="5" fillId="0" borderId="0" pivotButton="0" quotePrefix="0" xfId="0"/>
    <xf numFmtId="0" fontId="11" fillId="0" borderId="0" applyAlignment="1" pivotButton="0" quotePrefix="0" xfId="0">
      <alignment vertical="top" wrapText="1"/>
    </xf>
  </cellXfs>
  <cellStyles count="1">
    <cellStyle name="Normal" xfId="0" builtinId="0" hidden="0"/>
  </cellStyles>
  <dxfs count="2">
    <dxf>
      <fill>
        <patternFill patternType="solid">
          <fgColor rgb="0052F2DA"/>
        </patternFill>
      </fill>
    </dxf>
    <dxf>
      <font>
        <b val="1"/>
      </font>
      <fill>
        <patternFill patternType="solid">
          <fgColor rgb="0052F2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English 9 Pacing Calendar, 2026-27 (Purple and Gold days)</t>
        </is>
      </c>
    </row>
    <row r="2">
      <c r="A2" s="2" t="inlineStr">
        <is>
          <t>Menchville High School. Lessons come from the English 9 Unit 1-7 instructional views. Day types come from the MHS Purple-Gold calendar; assessment windows come from the NNPS High School Testing Calendar.</t>
        </is>
      </c>
    </row>
    <row r="3">
      <c r="A3" s="2" t="inlineStr"/>
    </row>
    <row r="4">
      <c r="A4" s="3" t="inlineStr">
        <is>
          <t>Tabs</t>
        </is>
      </c>
    </row>
    <row r="5">
      <c r="A5" s="2" t="inlineStr">
        <is>
          <t>Year at a Glance: month grids colored like the Purple-Gold calendar. Each school day shows the lesson or assessment for the classes that meet that day. It fills itself from the Purple and Gold tabs, so do not type in it.</t>
        </is>
      </c>
    </row>
    <row r="6">
      <c r="A6" s="2" t="inlineStr">
        <is>
          <t>Purple / Gold: one row per class meeting. The Lesson ID column (yellow) is the only column you need to edit. Unit, lesson, focus and standards fill in from the Lesson Bank.</t>
        </is>
      </c>
    </row>
    <row r="7">
      <c r="A7" s="2" t="inlineStr">
        <is>
          <t>Lesson Bank: every lesson from the unit documents, plus the assessments and a Flex day. Add a row here to create a new lesson ID.</t>
        </is>
      </c>
    </row>
    <row r="8">
      <c r="A8" s="2" t="inlineStr">
        <is>
          <t>Assessments: where each midquarter, benchmark and LPA landed for each track, inside its testing window. Its yellow Exam table (columns H and I) lists midyear exams, final exams and SOL test dates; each one is printed on its day in Year at a Glance.</t>
        </is>
      </c>
    </row>
    <row r="9">
      <c r="A9" s="2" t="inlineStr"/>
    </row>
    <row r="10">
      <c r="A10" s="3" t="inlineStr">
        <is>
          <t>How to edit</t>
        </is>
      </c>
    </row>
    <row r="11">
      <c r="A11" s="2" t="inlineStr">
        <is>
          <t>Change one day: click its Lesson ID cell and pick another ID from the dropdown.</t>
        </is>
      </c>
    </row>
    <row r="12">
      <c r="A12" s="2" t="inlineStr">
        <is>
          <t>Push lessons back a day (snow day, assembly): on the Purple or Gold tab, select the Lesson ID cells from that day to the end of the list, cut (Ctrl+X), click the cell one row down and paste (Ctrl+V). Type FLEX or a new ID in the empty cell. Move any assessment rows back to their dates afterward.</t>
        </is>
      </c>
    </row>
    <row r="13">
      <c r="A13" s="2" t="inlineStr">
        <is>
          <t>Add your own notes in the My notes column; it is not linked to anything.</t>
        </is>
      </c>
    </row>
    <row r="14">
      <c r="A14" s="2" t="inlineStr"/>
    </row>
    <row r="15">
      <c r="A15" s="3" t="inlineStr">
        <is>
          <t>Colors</t>
        </is>
      </c>
    </row>
    <row r="16">
      <c r="A16" s="2" t="inlineStr">
        <is>
          <t>Purple = Purple (odd) day, Gold = Gold (even) day, Teal = Exam day, Light green = half day, Salmon = no school. On the Purple and Gold tabs, assessment rows are teal.</t>
        </is>
      </c>
    </row>
    <row r="17">
      <c r="A17" s="2" t="inlineStr"/>
    </row>
    <row r="18">
      <c r="A18" s="3" t="inlineStr">
        <is>
          <t>Scheduling decisions</t>
        </is>
      </c>
    </row>
    <row r="19">
      <c r="A19" s="2" t="inlineStr">
        <is>
          <t>Each track has 86 class days. Nine full-day assessments plus 80 lessons did not fit, so three pairs of lessons are combined (see the Lesson Bank notes): U1 W1L1+2, U2 C2L3+4 and U7 C1L2+3. Unit 5 Cycle 5 Lesson 1 is the Q3 benchmark itself.</t>
        </is>
      </c>
    </row>
    <row r="20">
      <c r="A20" s="2" t="inlineStr">
        <is>
          <t>Purple classes do not meet during the Q4 benchmark window (6/3-6/16) before exams, so the Purple Q4 benchmark is on the 6/4 exam day. Confirm this with your department.</t>
        </is>
      </c>
    </row>
    <row r="21">
      <c r="A21" s="2" t="inlineStr">
        <is>
          <t>Purple ends with one Flex day because Purple has one fewer assessment on a regular 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9"/>
  <sheetViews>
    <sheetView showGridLines="0" workbookViewId="0">
      <selection activeCell="A1" sqref="A1"/>
    </sheetView>
  </sheetViews>
  <sheetFormatPr baseColWidth="8" defaultRowHeight="15"/>
  <cols>
    <col width="10.5" customWidth="1" min="1" max="1"/>
    <col width="10.5" customWidth="1" min="2" max="2"/>
    <col width="10.5" customWidth="1" min="3" max="3"/>
    <col width="10.5" customWidth="1" min="4" max="4"/>
    <col width="10.5" customWidth="1" min="5" max="5"/>
    <col width="10.5" customWidth="1" min="6" max="6"/>
    <col width="10.5" customWidth="1" min="7" max="7"/>
    <col width="2"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2"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2" customWidth="1" min="24" max="24"/>
  </cols>
  <sheetData>
    <row r="1">
      <c r="A1" s="4" t="inlineStr">
        <is>
          <t>English 9 Purple-Gold Pacing Calendar, August 2026 to June 2027</t>
        </is>
      </c>
    </row>
    <row r="2">
      <c r="A2" s="5" t="inlineStr">
        <is>
          <t>Purple day</t>
        </is>
      </c>
      <c r="D2" s="6" t="inlineStr">
        <is>
          <t>Gold day</t>
        </is>
      </c>
      <c r="G2" s="7" t="inlineStr">
        <is>
          <t>Exam day</t>
        </is>
      </c>
      <c r="J2" s="8" t="inlineStr">
        <is>
          <t>Half day</t>
        </is>
      </c>
      <c r="M2" s="9" t="inlineStr">
        <is>
          <t>No school</t>
        </is>
      </c>
    </row>
    <row r="3">
      <c r="A3" s="10" t="inlineStr">
        <is>
          <t>Each cell shows the date and the lesson for the classes that meet that day. Edit lessons on the Purple and Gold tabs.</t>
        </is>
      </c>
    </row>
    <row r="5">
      <c r="A5" s="11" t="inlineStr">
        <is>
          <t>August 2026</t>
        </is>
      </c>
      <c r="I5" s="11" t="inlineStr">
        <is>
          <t>September 2026</t>
        </is>
      </c>
      <c r="Q5" s="11" t="inlineStr">
        <is>
          <t>October 2026</t>
        </is>
      </c>
    </row>
    <row r="6">
      <c r="A6" s="12" t="inlineStr">
        <is>
          <t>S</t>
        </is>
      </c>
      <c r="B6" s="12" t="inlineStr">
        <is>
          <t>M</t>
        </is>
      </c>
      <c r="C6" s="12" t="inlineStr">
        <is>
          <t>T</t>
        </is>
      </c>
      <c r="D6" s="12" t="inlineStr">
        <is>
          <t>W</t>
        </is>
      </c>
      <c r="E6" s="12" t="inlineStr">
        <is>
          <t>T</t>
        </is>
      </c>
      <c r="F6" s="12" t="inlineStr">
        <is>
          <t>F</t>
        </is>
      </c>
      <c r="G6" s="12" t="inlineStr">
        <is>
          <t>S</t>
        </is>
      </c>
      <c r="I6" s="12" t="inlineStr">
        <is>
          <t>S</t>
        </is>
      </c>
      <c r="J6" s="12" t="inlineStr">
        <is>
          <t>M</t>
        </is>
      </c>
      <c r="K6" s="12" t="inlineStr">
        <is>
          <t>T</t>
        </is>
      </c>
      <c r="L6" s="12" t="inlineStr">
        <is>
          <t>W</t>
        </is>
      </c>
      <c r="M6" s="12" t="inlineStr">
        <is>
          <t>T</t>
        </is>
      </c>
      <c r="N6" s="12" t="inlineStr">
        <is>
          <t>F</t>
        </is>
      </c>
      <c r="O6" s="12" t="inlineStr">
        <is>
          <t>S</t>
        </is>
      </c>
      <c r="Q6" s="12" t="inlineStr">
        <is>
          <t>S</t>
        </is>
      </c>
      <c r="R6" s="12" t="inlineStr">
        <is>
          <t>M</t>
        </is>
      </c>
      <c r="S6" s="12" t="inlineStr">
        <is>
          <t>T</t>
        </is>
      </c>
      <c r="T6" s="12" t="inlineStr">
        <is>
          <t>W</t>
        </is>
      </c>
      <c r="U6" s="12" t="inlineStr">
        <is>
          <t>T</t>
        </is>
      </c>
      <c r="V6" s="12" t="inlineStr">
        <is>
          <t>F</t>
        </is>
      </c>
      <c r="W6" s="12" t="inlineStr">
        <is>
          <t>S</t>
        </is>
      </c>
    </row>
    <row r="7" ht="40" customHeight="1">
      <c r="A7" s="13" t="n"/>
      <c r="B7" s="13" t="n"/>
      <c r="C7" s="13" t="n"/>
      <c r="D7" s="13" t="n"/>
      <c r="E7" s="13" t="n"/>
      <c r="F7" s="13" t="n"/>
      <c r="G7" s="14" t="inlineStr">
        <is>
          <t>1</t>
        </is>
      </c>
      <c r="I7" s="13" t="n"/>
      <c r="J7" s="13" t="n"/>
      <c r="K7" s="15">
        <f>"1"&amp;CHAR(10)&amp;IFERROR(VLOOKUP(DATE(2026,9,1),Purple!$A:$J,10,FALSE),"")&amp;IFERROR(CHAR(10)&amp;VLOOKUP(DATE(2026,9,1),Assessments!$H:$I,2,FALSE),"")</f>
        <v/>
      </c>
      <c r="L7" s="16">
        <f>"2"&amp;CHAR(10)&amp;IFERROR(VLOOKUP(DATE(2026,9,2),Gold!$A:$J,10,FALSE),"")&amp;IFERROR(CHAR(10)&amp;VLOOKUP(DATE(2026,9,2),Assessments!$H:$I,2,FALSE),"")</f>
        <v/>
      </c>
      <c r="M7" s="15">
        <f>"3"&amp;CHAR(10)&amp;IFERROR(VLOOKUP(DATE(2026,9,3),Purple!$A:$J,10,FALSE),"")&amp;IFERROR(CHAR(10)&amp;VLOOKUP(DATE(2026,9,3),Assessments!$H:$I,2,FALSE),"")</f>
        <v/>
      </c>
      <c r="N7" s="14" t="inlineStr">
        <is>
          <t>4</t>
        </is>
      </c>
      <c r="O7" s="14" t="inlineStr">
        <is>
          <t>5</t>
        </is>
      </c>
      <c r="Q7" s="13" t="n"/>
      <c r="R7" s="13" t="n"/>
      <c r="S7" s="13" t="n"/>
      <c r="T7" s="13" t="n"/>
      <c r="U7" s="15">
        <f>"1"&amp;CHAR(10)&amp;IFERROR(VLOOKUP(DATE(2026,10,1),Purple!$A:$J,10,FALSE),"")&amp;IFERROR(CHAR(10)&amp;VLOOKUP(DATE(2026,10,1),Assessments!$H:$I,2,FALSE),"")</f>
        <v/>
      </c>
      <c r="V7" s="16">
        <f>"2"&amp;CHAR(10)&amp;IFERROR(VLOOKUP(DATE(2026,10,2),Gold!$A:$J,10,FALSE),"")&amp;IFERROR(CHAR(10)&amp;VLOOKUP(DATE(2026,10,2),Assessments!$H:$I,2,FALSE),"")</f>
        <v/>
      </c>
      <c r="W7" s="14" t="inlineStr">
        <is>
          <t>3</t>
        </is>
      </c>
    </row>
    <row r="8" ht="40" customHeight="1">
      <c r="A8" s="14" t="inlineStr">
        <is>
          <t>2</t>
        </is>
      </c>
      <c r="B8" s="14" t="inlineStr">
        <is>
          <t>3</t>
        </is>
      </c>
      <c r="C8" s="14" t="inlineStr">
        <is>
          <t>4</t>
        </is>
      </c>
      <c r="D8" s="14" t="inlineStr">
        <is>
          <t>5</t>
        </is>
      </c>
      <c r="E8" s="14" t="inlineStr">
        <is>
          <t>6</t>
        </is>
      </c>
      <c r="F8" s="14" t="inlineStr">
        <is>
          <t>7</t>
        </is>
      </c>
      <c r="G8" s="14" t="inlineStr">
        <is>
          <t>8</t>
        </is>
      </c>
      <c r="I8" s="14" t="inlineStr">
        <is>
          <t>6</t>
        </is>
      </c>
      <c r="J8" s="14" t="inlineStr">
        <is>
          <t>7</t>
        </is>
      </c>
      <c r="K8" s="16">
        <f>"8"&amp;CHAR(10)&amp;IFERROR(VLOOKUP(DATE(2026,9,8),Gold!$A:$J,10,FALSE),"")&amp;IFERROR(CHAR(10)&amp;VLOOKUP(DATE(2026,9,8),Assessments!$H:$I,2,FALSE),"")</f>
        <v/>
      </c>
      <c r="L8" s="15">
        <f>"9"&amp;CHAR(10)&amp;IFERROR(VLOOKUP(DATE(2026,9,9),Purple!$A:$J,10,FALSE),"")&amp;IFERROR(CHAR(10)&amp;VLOOKUP(DATE(2026,9,9),Assessments!$H:$I,2,FALSE),"")</f>
        <v/>
      </c>
      <c r="M8" s="16">
        <f>"10"&amp;CHAR(10)&amp;IFERROR(VLOOKUP(DATE(2026,9,10),Gold!$A:$J,10,FALSE),"")&amp;IFERROR(CHAR(10)&amp;VLOOKUP(DATE(2026,9,10),Assessments!$H:$I,2,FALSE),"")</f>
        <v/>
      </c>
      <c r="N8" s="15">
        <f>"11"&amp;CHAR(10)&amp;IFERROR(VLOOKUP(DATE(2026,9,11),Purple!$A:$J,10,FALSE),"")&amp;IFERROR(CHAR(10)&amp;VLOOKUP(DATE(2026,9,11),Assessments!$H:$I,2,FALSE),"")</f>
        <v/>
      </c>
      <c r="O8" s="14" t="inlineStr">
        <is>
          <t>12</t>
        </is>
      </c>
      <c r="Q8" s="14" t="inlineStr">
        <is>
          <t>4</t>
        </is>
      </c>
      <c r="R8" s="15">
        <f>"5"&amp;CHAR(10)&amp;IFERROR(VLOOKUP(DATE(2026,10,5),Purple!$A:$J,10,FALSE),"")&amp;IFERROR(CHAR(10)&amp;VLOOKUP(DATE(2026,10,5),Assessments!$H:$I,2,FALSE),"")</f>
        <v/>
      </c>
      <c r="S8" s="16">
        <f>"6"&amp;CHAR(10)&amp;IFERROR(VLOOKUP(DATE(2026,10,6),Gold!$A:$J,10,FALSE),"")&amp;IFERROR(CHAR(10)&amp;VLOOKUP(DATE(2026,10,6),Assessments!$H:$I,2,FALSE),"")</f>
        <v/>
      </c>
      <c r="T8" s="15">
        <f>"7"&amp;CHAR(10)&amp;IFERROR(VLOOKUP(DATE(2026,10,7),Purple!$A:$J,10,FALSE),"")&amp;IFERROR(CHAR(10)&amp;VLOOKUP(DATE(2026,10,7),Assessments!$H:$I,2,FALSE),"")</f>
        <v/>
      </c>
      <c r="U8" s="16">
        <f>"8"&amp;CHAR(10)&amp;IFERROR(VLOOKUP(DATE(2026,10,8),Gold!$A:$J,10,FALSE),"")&amp;IFERROR(CHAR(10)&amp;VLOOKUP(DATE(2026,10,8),Assessments!$H:$I,2,FALSE),"")</f>
        <v/>
      </c>
      <c r="V8" s="15">
        <f>"9"&amp;CHAR(10)&amp;IFERROR(VLOOKUP(DATE(2026,10,9),Purple!$A:$J,10,FALSE),"")&amp;IFERROR(CHAR(10)&amp;VLOOKUP(DATE(2026,10,9),Assessments!$H:$I,2,FALSE),"")</f>
        <v/>
      </c>
      <c r="W8" s="14" t="inlineStr">
        <is>
          <t>10</t>
        </is>
      </c>
    </row>
    <row r="9" ht="40" customHeight="1">
      <c r="A9" s="14" t="inlineStr">
        <is>
          <t>9</t>
        </is>
      </c>
      <c r="B9" s="14" t="inlineStr">
        <is>
          <t>10</t>
        </is>
      </c>
      <c r="C9" s="14" t="inlineStr">
        <is>
          <t>11</t>
        </is>
      </c>
      <c r="D9" s="14" t="inlineStr">
        <is>
          <t>12</t>
        </is>
      </c>
      <c r="E9" s="14" t="inlineStr">
        <is>
          <t>13</t>
        </is>
      </c>
      <c r="F9" s="14" t="inlineStr">
        <is>
          <t>14</t>
        </is>
      </c>
      <c r="G9" s="14" t="inlineStr">
        <is>
          <t>15</t>
        </is>
      </c>
      <c r="I9" s="14" t="inlineStr">
        <is>
          <t>13</t>
        </is>
      </c>
      <c r="J9" s="16">
        <f>"14"&amp;CHAR(10)&amp;IFERROR(VLOOKUP(DATE(2026,9,14),Gold!$A:$J,10,FALSE),"")&amp;IFERROR(CHAR(10)&amp;VLOOKUP(DATE(2026,9,14),Assessments!$H:$I,2,FALSE),"")</f>
        <v/>
      </c>
      <c r="K9" s="15">
        <f>"15"&amp;CHAR(10)&amp;IFERROR(VLOOKUP(DATE(2026,9,15),Purple!$A:$J,10,FALSE),"")&amp;IFERROR(CHAR(10)&amp;VLOOKUP(DATE(2026,9,15),Assessments!$H:$I,2,FALSE),"")</f>
        <v/>
      </c>
      <c r="L9" s="16">
        <f>"16"&amp;CHAR(10)&amp;IFERROR(VLOOKUP(DATE(2026,9,16),Gold!$A:$J,10,FALSE),"")&amp;IFERROR(CHAR(10)&amp;VLOOKUP(DATE(2026,9,16),Assessments!$H:$I,2,FALSE),"")</f>
        <v/>
      </c>
      <c r="M9" s="15">
        <f>"17"&amp;CHAR(10)&amp;IFERROR(VLOOKUP(DATE(2026,9,17),Purple!$A:$J,10,FALSE),"")&amp;IFERROR(CHAR(10)&amp;VLOOKUP(DATE(2026,9,17),Assessments!$H:$I,2,FALSE),"")</f>
        <v/>
      </c>
      <c r="N9" s="16">
        <f>"18"&amp;CHAR(10)&amp;IFERROR(VLOOKUP(DATE(2026,9,18),Gold!$A:$J,10,FALSE),"")&amp;IFERROR(CHAR(10)&amp;VLOOKUP(DATE(2026,9,18),Assessments!$H:$I,2,FALSE),"")</f>
        <v/>
      </c>
      <c r="O9" s="14" t="inlineStr">
        <is>
          <t>19</t>
        </is>
      </c>
      <c r="Q9" s="14" t="inlineStr">
        <is>
          <t>11</t>
        </is>
      </c>
      <c r="R9" s="16">
        <f>"12"&amp;CHAR(10)&amp;IFERROR(VLOOKUP(DATE(2026,10,12),Gold!$A:$J,10,FALSE),"")&amp;IFERROR(CHAR(10)&amp;VLOOKUP(DATE(2026,10,12),Assessments!$H:$I,2,FALSE),"")</f>
        <v/>
      </c>
      <c r="S9" s="15">
        <f>"13"&amp;CHAR(10)&amp;IFERROR(VLOOKUP(DATE(2026,10,13),Purple!$A:$J,10,FALSE),"")&amp;IFERROR(CHAR(10)&amp;VLOOKUP(DATE(2026,10,13),Assessments!$H:$I,2,FALSE),"")</f>
        <v/>
      </c>
      <c r="T9" s="16">
        <f>"14"&amp;CHAR(10)&amp;IFERROR(VLOOKUP(DATE(2026,10,14),Gold!$A:$J,10,FALSE),"")&amp;IFERROR(CHAR(10)&amp;VLOOKUP(DATE(2026,10,14),Assessments!$H:$I,2,FALSE),"")</f>
        <v/>
      </c>
      <c r="U9" s="15">
        <f>"15"&amp;CHAR(10)&amp;IFERROR(VLOOKUP(DATE(2026,10,15),Purple!$A:$J,10,FALSE),"")&amp;IFERROR(CHAR(10)&amp;VLOOKUP(DATE(2026,10,15),Assessments!$H:$I,2,FALSE),"")</f>
        <v/>
      </c>
      <c r="V9" s="14" t="inlineStr">
        <is>
          <t>16</t>
        </is>
      </c>
      <c r="W9" s="14" t="inlineStr">
        <is>
          <t>17</t>
        </is>
      </c>
    </row>
    <row r="10" ht="40" customHeight="1">
      <c r="A10" s="14" t="inlineStr">
        <is>
          <t>16</t>
        </is>
      </c>
      <c r="B10" s="14" t="inlineStr">
        <is>
          <t>17</t>
        </is>
      </c>
      <c r="C10" s="14" t="inlineStr">
        <is>
          <t>18</t>
        </is>
      </c>
      <c r="D10" s="14" t="inlineStr">
        <is>
          <t>19</t>
        </is>
      </c>
      <c r="E10" s="14" t="inlineStr">
        <is>
          <t>20</t>
        </is>
      </c>
      <c r="F10" s="14" t="inlineStr">
        <is>
          <t>21</t>
        </is>
      </c>
      <c r="G10" s="14" t="inlineStr">
        <is>
          <t>22</t>
        </is>
      </c>
      <c r="I10" s="14" t="inlineStr">
        <is>
          <t>20</t>
        </is>
      </c>
      <c r="J10" s="15">
        <f>"21"&amp;CHAR(10)&amp;IFERROR(VLOOKUP(DATE(2026,9,21),Purple!$A:$J,10,FALSE),"")&amp;IFERROR(CHAR(10)&amp;VLOOKUP(DATE(2026,9,21),Assessments!$H:$I,2,FALSE),"")</f>
        <v/>
      </c>
      <c r="K10" s="16">
        <f>"22"&amp;CHAR(10)&amp;IFERROR(VLOOKUP(DATE(2026,9,22),Gold!$A:$J,10,FALSE),"")&amp;IFERROR(CHAR(10)&amp;VLOOKUP(DATE(2026,9,22),Assessments!$H:$I,2,FALSE),"")</f>
        <v/>
      </c>
      <c r="L10" s="15">
        <f>"23"&amp;CHAR(10)&amp;IFERROR(VLOOKUP(DATE(2026,9,23),Purple!$A:$J,10,FALSE),"")&amp;IFERROR(CHAR(10)&amp;VLOOKUP(DATE(2026,9,23),Assessments!$H:$I,2,FALSE),"")</f>
        <v/>
      </c>
      <c r="M10" s="16">
        <f>"24"&amp;CHAR(10)&amp;IFERROR(VLOOKUP(DATE(2026,9,24),Gold!$A:$J,10,FALSE),"")&amp;IFERROR(CHAR(10)&amp;VLOOKUP(DATE(2026,9,24),Assessments!$H:$I,2,FALSE),"")</f>
        <v/>
      </c>
      <c r="N10" s="15">
        <f>"25"&amp;CHAR(10)&amp;IFERROR(VLOOKUP(DATE(2026,9,25),Purple!$A:$J,10,FALSE),"")&amp;IFERROR(CHAR(10)&amp;VLOOKUP(DATE(2026,9,25),Assessments!$H:$I,2,FALSE),"")</f>
        <v/>
      </c>
      <c r="O10" s="14" t="inlineStr">
        <is>
          <t>26</t>
        </is>
      </c>
      <c r="Q10" s="14" t="inlineStr">
        <is>
          <t>18</t>
        </is>
      </c>
      <c r="R10" s="16">
        <f>"19"&amp;CHAR(10)&amp;IFERROR(VLOOKUP(DATE(2026,10,19),Gold!$A:$J,10,FALSE),"")&amp;IFERROR(CHAR(10)&amp;VLOOKUP(DATE(2026,10,19),Assessments!$H:$I,2,FALSE),"")</f>
        <v/>
      </c>
      <c r="S10" s="15">
        <f>"20"&amp;CHAR(10)&amp;IFERROR(VLOOKUP(DATE(2026,10,20),Purple!$A:$J,10,FALSE),"")&amp;IFERROR(CHAR(10)&amp;VLOOKUP(DATE(2026,10,20),Assessments!$H:$I,2,FALSE),"")</f>
        <v/>
      </c>
      <c r="T10" s="16">
        <f>"21"&amp;CHAR(10)&amp;IFERROR(VLOOKUP(DATE(2026,10,21),Gold!$A:$J,10,FALSE),"")&amp;IFERROR(CHAR(10)&amp;VLOOKUP(DATE(2026,10,21),Assessments!$H:$I,2,FALSE),"")</f>
        <v/>
      </c>
      <c r="U10" s="15">
        <f>"22"&amp;CHAR(10)&amp;IFERROR(VLOOKUP(DATE(2026,10,22),Purple!$A:$J,10,FALSE),"")&amp;IFERROR(CHAR(10)&amp;VLOOKUP(DATE(2026,10,22),Assessments!$H:$I,2,FALSE),"")</f>
        <v/>
      </c>
      <c r="V10" s="16">
        <f>"23"&amp;CHAR(10)&amp;IFERROR(VLOOKUP(DATE(2026,10,23),Gold!$A:$J,10,FALSE),"")&amp;IFERROR(CHAR(10)&amp;VLOOKUP(DATE(2026,10,23),Assessments!$H:$I,2,FALSE),"")</f>
        <v/>
      </c>
      <c r="W10" s="14" t="inlineStr">
        <is>
          <t>24</t>
        </is>
      </c>
    </row>
    <row r="11" ht="40" customHeight="1">
      <c r="A11" s="14" t="inlineStr">
        <is>
          <t>23</t>
        </is>
      </c>
      <c r="B11" s="15">
        <f>"24"&amp;CHAR(10)&amp;IFERROR(VLOOKUP(DATE(2026,8,24),Purple!$A:$J,10,FALSE),"")&amp;IFERROR(CHAR(10)&amp;VLOOKUP(DATE(2026,8,24),Assessments!$H:$I,2,FALSE),"")</f>
        <v/>
      </c>
      <c r="C11" s="16">
        <f>"25"&amp;CHAR(10)&amp;IFERROR(VLOOKUP(DATE(2026,8,25),Gold!$A:$J,10,FALSE),"")&amp;IFERROR(CHAR(10)&amp;VLOOKUP(DATE(2026,8,25),Assessments!$H:$I,2,FALSE),"")</f>
        <v/>
      </c>
      <c r="D11" s="15">
        <f>"26"&amp;CHAR(10)&amp;IFERROR(VLOOKUP(DATE(2026,8,26),Purple!$A:$J,10,FALSE),"")&amp;IFERROR(CHAR(10)&amp;VLOOKUP(DATE(2026,8,26),Assessments!$H:$I,2,FALSE),"")</f>
        <v/>
      </c>
      <c r="E11" s="16">
        <f>"27"&amp;CHAR(10)&amp;IFERROR(VLOOKUP(DATE(2026,8,27),Gold!$A:$J,10,FALSE),"")&amp;IFERROR(CHAR(10)&amp;VLOOKUP(DATE(2026,8,27),Assessments!$H:$I,2,FALSE),"")</f>
        <v/>
      </c>
      <c r="F11" s="15">
        <f>"28"&amp;CHAR(10)&amp;IFERROR(VLOOKUP(DATE(2026,8,28),Purple!$A:$J,10,FALSE),"")&amp;IFERROR(CHAR(10)&amp;VLOOKUP(DATE(2026,8,28),Assessments!$H:$I,2,FALSE),"")</f>
        <v/>
      </c>
      <c r="G11" s="14" t="inlineStr">
        <is>
          <t>29</t>
        </is>
      </c>
      <c r="I11" s="14" t="inlineStr">
        <is>
          <t>27</t>
        </is>
      </c>
      <c r="J11" s="16">
        <f>"28"&amp;CHAR(10)&amp;IFERROR(VLOOKUP(DATE(2026,9,28),Gold!$A:$J,10,FALSE),"")&amp;IFERROR(CHAR(10)&amp;VLOOKUP(DATE(2026,9,28),Assessments!$H:$I,2,FALSE),"")</f>
        <v/>
      </c>
      <c r="K11" s="15">
        <f>"29"&amp;CHAR(10)&amp;IFERROR(VLOOKUP(DATE(2026,9,29),Purple!$A:$J,10,FALSE),"")&amp;IFERROR(CHAR(10)&amp;VLOOKUP(DATE(2026,9,29),Assessments!$H:$I,2,FALSE),"")</f>
        <v/>
      </c>
      <c r="L11" s="16">
        <f>"30"&amp;CHAR(10)&amp;IFERROR(VLOOKUP(DATE(2026,9,30),Gold!$A:$J,10,FALSE),"")&amp;IFERROR(CHAR(10)&amp;VLOOKUP(DATE(2026,9,30),Assessments!$H:$I,2,FALSE),"")</f>
        <v/>
      </c>
      <c r="M11" s="13" t="n"/>
      <c r="N11" s="13" t="n"/>
      <c r="O11" s="13" t="n"/>
      <c r="Q11" s="14" t="inlineStr">
        <is>
          <t>25</t>
        </is>
      </c>
      <c r="R11" s="15">
        <f>"26"&amp;CHAR(10)&amp;IFERROR(VLOOKUP(DATE(2026,10,26),Purple!$A:$J,10,FALSE),"")&amp;IFERROR(CHAR(10)&amp;VLOOKUP(DATE(2026,10,26),Assessments!$H:$I,2,FALSE),"")</f>
        <v/>
      </c>
      <c r="S11" s="16">
        <f>"27"&amp;CHAR(10)&amp;IFERROR(VLOOKUP(DATE(2026,10,27),Gold!$A:$J,10,FALSE),"")&amp;IFERROR(CHAR(10)&amp;VLOOKUP(DATE(2026,10,27),Assessments!$H:$I,2,FALSE),"")</f>
        <v/>
      </c>
      <c r="T11" s="15">
        <f>"28"&amp;CHAR(10)&amp;IFERROR(VLOOKUP(DATE(2026,10,28),Purple!$A:$J,10,FALSE),"")&amp;IFERROR(CHAR(10)&amp;VLOOKUP(DATE(2026,10,28),Assessments!$H:$I,2,FALSE),"")</f>
        <v/>
      </c>
      <c r="U11" s="16">
        <f>"29"&amp;CHAR(10)&amp;IFERROR(VLOOKUP(DATE(2026,10,29),Gold!$A:$J,10,FALSE),"")&amp;IFERROR(CHAR(10)&amp;VLOOKUP(DATE(2026,10,29),Assessments!$H:$I,2,FALSE),"")</f>
        <v/>
      </c>
      <c r="V11" s="15">
        <f>"30"&amp;CHAR(10)&amp;IFERROR(VLOOKUP(DATE(2026,10,30),Purple!$A:$J,10,FALSE),"")&amp;IFERROR(CHAR(10)&amp;VLOOKUP(DATE(2026,10,30),Assessments!$H:$I,2,FALSE),"")</f>
        <v/>
      </c>
      <c r="W11" s="14" t="inlineStr">
        <is>
          <t>31</t>
        </is>
      </c>
    </row>
    <row r="12" ht="40" customHeight="1">
      <c r="A12" s="14" t="inlineStr">
        <is>
          <t>30</t>
        </is>
      </c>
      <c r="B12" s="16">
        <f>"31"&amp;CHAR(10)&amp;IFERROR(VLOOKUP(DATE(2026,8,31),Gold!$A:$J,10,FALSE),"")&amp;IFERROR(CHAR(10)&amp;VLOOKUP(DATE(2026,8,31),Assessments!$H:$I,2,FALSE),"")</f>
        <v/>
      </c>
      <c r="C12" s="13" t="n"/>
      <c r="D12" s="13" t="n"/>
      <c r="E12" s="13" t="n"/>
      <c r="F12" s="13" t="n"/>
      <c r="G12" s="13" t="n"/>
      <c r="I12" s="13" t="n"/>
      <c r="J12" s="13" t="n"/>
      <c r="K12" s="13" t="n"/>
      <c r="L12" s="13" t="n"/>
      <c r="M12" s="13" t="n"/>
      <c r="N12" s="13" t="n"/>
      <c r="O12" s="13" t="n"/>
      <c r="Q12" s="13" t="n"/>
      <c r="R12" s="13" t="n"/>
      <c r="S12" s="13" t="n"/>
      <c r="T12" s="13" t="n"/>
      <c r="U12" s="13" t="n"/>
      <c r="V12" s="13" t="n"/>
      <c r="W12" s="13" t="n"/>
    </row>
    <row r="14">
      <c r="A14" s="11" t="inlineStr">
        <is>
          <t>November 2026</t>
        </is>
      </c>
      <c r="I14" s="11" t="inlineStr">
        <is>
          <t>December 2026</t>
        </is>
      </c>
      <c r="Q14" s="11" t="inlineStr">
        <is>
          <t>January 2027</t>
        </is>
      </c>
    </row>
    <row r="15">
      <c r="A15" s="12" t="inlineStr">
        <is>
          <t>S</t>
        </is>
      </c>
      <c r="B15" s="12" t="inlineStr">
        <is>
          <t>M</t>
        </is>
      </c>
      <c r="C15" s="12" t="inlineStr">
        <is>
          <t>T</t>
        </is>
      </c>
      <c r="D15" s="12" t="inlineStr">
        <is>
          <t>W</t>
        </is>
      </c>
      <c r="E15" s="12" t="inlineStr">
        <is>
          <t>T</t>
        </is>
      </c>
      <c r="F15" s="12" t="inlineStr">
        <is>
          <t>F</t>
        </is>
      </c>
      <c r="G15" s="12" t="inlineStr">
        <is>
          <t>S</t>
        </is>
      </c>
      <c r="I15" s="12" t="inlineStr">
        <is>
          <t>S</t>
        </is>
      </c>
      <c r="J15" s="12" t="inlineStr">
        <is>
          <t>M</t>
        </is>
      </c>
      <c r="K15" s="12" t="inlineStr">
        <is>
          <t>T</t>
        </is>
      </c>
      <c r="L15" s="12" t="inlineStr">
        <is>
          <t>W</t>
        </is>
      </c>
      <c r="M15" s="12" t="inlineStr">
        <is>
          <t>T</t>
        </is>
      </c>
      <c r="N15" s="12" t="inlineStr">
        <is>
          <t>F</t>
        </is>
      </c>
      <c r="O15" s="12" t="inlineStr">
        <is>
          <t>S</t>
        </is>
      </c>
      <c r="Q15" s="12" t="inlineStr">
        <is>
          <t>S</t>
        </is>
      </c>
      <c r="R15" s="12" t="inlineStr">
        <is>
          <t>M</t>
        </is>
      </c>
      <c r="S15" s="12" t="inlineStr">
        <is>
          <t>T</t>
        </is>
      </c>
      <c r="T15" s="12" t="inlineStr">
        <is>
          <t>W</t>
        </is>
      </c>
      <c r="U15" s="12" t="inlineStr">
        <is>
          <t>T</t>
        </is>
      </c>
      <c r="V15" s="12" t="inlineStr">
        <is>
          <t>F</t>
        </is>
      </c>
      <c r="W15" s="12" t="inlineStr">
        <is>
          <t>S</t>
        </is>
      </c>
    </row>
    <row r="16" ht="40" customHeight="1">
      <c r="A16" s="14" t="inlineStr">
        <is>
          <t>1</t>
        </is>
      </c>
      <c r="B16" s="16">
        <f>"2"&amp;CHAR(10)&amp;IFERROR(VLOOKUP(DATE(2026,11,2),Gold!$A:$J,10,FALSE),"")&amp;IFERROR(CHAR(10)&amp;VLOOKUP(DATE(2026,11,2),Assessments!$H:$I,2,FALSE),"")</f>
        <v/>
      </c>
      <c r="C16" s="14" t="inlineStr">
        <is>
          <t>3</t>
        </is>
      </c>
      <c r="D16" s="15">
        <f>"4"&amp;CHAR(10)&amp;IFERROR(VLOOKUP(DATE(2026,11,4),Purple!$A:$J,10,FALSE),"")&amp;IFERROR(CHAR(10)&amp;VLOOKUP(DATE(2026,11,4),Assessments!$H:$I,2,FALSE),"")</f>
        <v/>
      </c>
      <c r="E16" s="16">
        <f>"5"&amp;CHAR(10)&amp;IFERROR(VLOOKUP(DATE(2026,11,5),Gold!$A:$J,10,FALSE),"")&amp;IFERROR(CHAR(10)&amp;VLOOKUP(DATE(2026,11,5),Assessments!$H:$I,2,FALSE),"")</f>
        <v/>
      </c>
      <c r="F16" s="15">
        <f>"6"&amp;CHAR(10)&amp;IFERROR(VLOOKUP(DATE(2026,11,6),Purple!$A:$J,10,FALSE),"")&amp;IFERROR(CHAR(10)&amp;VLOOKUP(DATE(2026,11,6),Assessments!$H:$I,2,FALSE),"")</f>
        <v/>
      </c>
      <c r="G16" s="14" t="inlineStr">
        <is>
          <t>7</t>
        </is>
      </c>
      <c r="I16" s="13" t="n"/>
      <c r="J16" s="13" t="n"/>
      <c r="K16" s="15">
        <f>"1"&amp;CHAR(10)&amp;IFERROR(VLOOKUP(DATE(2026,12,1),Purple!$A:$J,10,FALSE),"")&amp;IFERROR(CHAR(10)&amp;VLOOKUP(DATE(2026,12,1),Assessments!$H:$I,2,FALSE),"")</f>
        <v/>
      </c>
      <c r="L16" s="16">
        <f>"2"&amp;CHAR(10)&amp;IFERROR(VLOOKUP(DATE(2026,12,2),Gold!$A:$J,10,FALSE),"")&amp;IFERROR(CHAR(10)&amp;VLOOKUP(DATE(2026,12,2),Assessments!$H:$I,2,FALSE),"")</f>
        <v/>
      </c>
      <c r="M16" s="15">
        <f>"3"&amp;CHAR(10)&amp;IFERROR(VLOOKUP(DATE(2026,12,3),Purple!$A:$J,10,FALSE),"")&amp;IFERROR(CHAR(10)&amp;VLOOKUP(DATE(2026,12,3),Assessments!$H:$I,2,FALSE),"")</f>
        <v/>
      </c>
      <c r="N16" s="16">
        <f>"4"&amp;CHAR(10)&amp;IFERROR(VLOOKUP(DATE(2026,12,4),Gold!$A:$J,10,FALSE),"")&amp;IFERROR(CHAR(10)&amp;VLOOKUP(DATE(2026,12,4),Assessments!$H:$I,2,FALSE),"")</f>
        <v/>
      </c>
      <c r="O16" s="14" t="inlineStr">
        <is>
          <t>5</t>
        </is>
      </c>
      <c r="Q16" s="13" t="n"/>
      <c r="R16" s="13" t="n"/>
      <c r="S16" s="13" t="n"/>
      <c r="T16" s="13" t="n"/>
      <c r="U16" s="13" t="n"/>
      <c r="V16" s="14" t="inlineStr">
        <is>
          <t>1</t>
        </is>
      </c>
      <c r="W16" s="14" t="inlineStr">
        <is>
          <t>2</t>
        </is>
      </c>
    </row>
    <row r="17" ht="40" customHeight="1">
      <c r="A17" s="14" t="inlineStr">
        <is>
          <t>8</t>
        </is>
      </c>
      <c r="B17" s="16">
        <f>"9"&amp;CHAR(10)&amp;IFERROR(VLOOKUP(DATE(2026,11,9),Gold!$A:$J,10,FALSE),"")&amp;IFERROR(CHAR(10)&amp;VLOOKUP(DATE(2026,11,9),Assessments!$H:$I,2,FALSE),"")</f>
        <v/>
      </c>
      <c r="C17" s="15">
        <f>"10"&amp;CHAR(10)&amp;IFERROR(VLOOKUP(DATE(2026,11,10),Purple!$A:$J,10,FALSE),"")&amp;IFERROR(CHAR(10)&amp;VLOOKUP(DATE(2026,11,10),Assessments!$H:$I,2,FALSE),"")</f>
        <v/>
      </c>
      <c r="D17" s="16">
        <f>"11"&amp;CHAR(10)&amp;IFERROR(VLOOKUP(DATE(2026,11,11),Gold!$A:$J,10,FALSE),"")&amp;IFERROR(CHAR(10)&amp;VLOOKUP(DATE(2026,11,11),Assessments!$H:$I,2,FALSE),"")</f>
        <v/>
      </c>
      <c r="E17" s="15">
        <f>"12"&amp;CHAR(10)&amp;IFERROR(VLOOKUP(DATE(2026,11,12),Purple!$A:$J,10,FALSE),"")&amp;IFERROR(CHAR(10)&amp;VLOOKUP(DATE(2026,11,12),Assessments!$H:$I,2,FALSE),"")</f>
        <v/>
      </c>
      <c r="F17" s="16">
        <f>"13"&amp;CHAR(10)&amp;IFERROR(VLOOKUP(DATE(2026,11,13),Gold!$A:$J,10,FALSE),"")&amp;IFERROR(CHAR(10)&amp;VLOOKUP(DATE(2026,11,13),Assessments!$H:$I,2,FALSE),"")</f>
        <v/>
      </c>
      <c r="G17" s="14" t="inlineStr">
        <is>
          <t>14</t>
        </is>
      </c>
      <c r="I17" s="14" t="inlineStr">
        <is>
          <t>6</t>
        </is>
      </c>
      <c r="J17" s="15">
        <f>"7"&amp;CHAR(10)&amp;IFERROR(VLOOKUP(DATE(2026,12,7),Purple!$A:$J,10,FALSE),"")&amp;IFERROR(CHAR(10)&amp;VLOOKUP(DATE(2026,12,7),Assessments!$H:$I,2,FALSE),"")</f>
        <v/>
      </c>
      <c r="K17" s="16">
        <f>"8"&amp;CHAR(10)&amp;IFERROR(VLOOKUP(DATE(2026,12,8),Gold!$A:$J,10,FALSE),"")&amp;IFERROR(CHAR(10)&amp;VLOOKUP(DATE(2026,12,8),Assessments!$H:$I,2,FALSE),"")</f>
        <v/>
      </c>
      <c r="L17" s="15">
        <f>"9"&amp;CHAR(10)&amp;IFERROR(VLOOKUP(DATE(2026,12,9),Purple!$A:$J,10,FALSE),"")&amp;IFERROR(CHAR(10)&amp;VLOOKUP(DATE(2026,12,9),Assessments!$H:$I,2,FALSE),"")</f>
        <v/>
      </c>
      <c r="M17" s="16">
        <f>"10"&amp;CHAR(10)&amp;IFERROR(VLOOKUP(DATE(2026,12,10),Gold!$A:$J,10,FALSE),"")&amp;IFERROR(CHAR(10)&amp;VLOOKUP(DATE(2026,12,10),Assessments!$H:$I,2,FALSE),"")</f>
        <v/>
      </c>
      <c r="N17" s="15">
        <f>"11"&amp;CHAR(10)&amp;IFERROR(VLOOKUP(DATE(2026,12,11),Purple!$A:$J,10,FALSE),"")&amp;IFERROR(CHAR(10)&amp;VLOOKUP(DATE(2026,12,11),Assessments!$H:$I,2,FALSE),"")</f>
        <v/>
      </c>
      <c r="O17" s="14" t="inlineStr">
        <is>
          <t>12</t>
        </is>
      </c>
      <c r="Q17" s="14" t="inlineStr">
        <is>
          <t>3</t>
        </is>
      </c>
      <c r="R17" s="14" t="inlineStr">
        <is>
          <t>4</t>
        </is>
      </c>
      <c r="S17" s="15">
        <f>"5"&amp;CHAR(10)&amp;IFERROR(VLOOKUP(DATE(2027,1,5),Purple!$A:$J,10,FALSE),"")&amp;IFERROR(CHAR(10)&amp;VLOOKUP(DATE(2027,1,5),Assessments!$H:$I,2,FALSE),"")</f>
        <v/>
      </c>
      <c r="T17" s="16">
        <f>"6"&amp;CHAR(10)&amp;IFERROR(VLOOKUP(DATE(2027,1,6),Gold!$A:$J,10,FALSE),"")&amp;IFERROR(CHAR(10)&amp;VLOOKUP(DATE(2027,1,6),Assessments!$H:$I,2,FALSE),"")</f>
        <v/>
      </c>
      <c r="U17" s="15">
        <f>"7"&amp;CHAR(10)&amp;IFERROR(VLOOKUP(DATE(2027,1,7),Purple!$A:$J,10,FALSE),"")&amp;IFERROR(CHAR(10)&amp;VLOOKUP(DATE(2027,1,7),Assessments!$H:$I,2,FALSE),"")</f>
        <v/>
      </c>
      <c r="V17" s="16">
        <f>"8"&amp;CHAR(10)&amp;IFERROR(VLOOKUP(DATE(2027,1,8),Gold!$A:$J,10,FALSE),"")&amp;IFERROR(CHAR(10)&amp;VLOOKUP(DATE(2027,1,8),Assessments!$H:$I,2,FALSE),"")</f>
        <v/>
      </c>
      <c r="W17" s="14" t="inlineStr">
        <is>
          <t>9</t>
        </is>
      </c>
    </row>
    <row r="18" ht="40" customHeight="1">
      <c r="A18" s="14" t="inlineStr">
        <is>
          <t>15</t>
        </is>
      </c>
      <c r="B18" s="15">
        <f>"16"&amp;CHAR(10)&amp;IFERROR(VLOOKUP(DATE(2026,11,16),Purple!$A:$J,10,FALSE),"")&amp;IFERROR(CHAR(10)&amp;VLOOKUP(DATE(2026,11,16),Assessments!$H:$I,2,FALSE),"")</f>
        <v/>
      </c>
      <c r="C18" s="16">
        <f>"17"&amp;CHAR(10)&amp;IFERROR(VLOOKUP(DATE(2026,11,17),Gold!$A:$J,10,FALSE),"")&amp;IFERROR(CHAR(10)&amp;VLOOKUP(DATE(2026,11,17),Assessments!$H:$I,2,FALSE),"")</f>
        <v/>
      </c>
      <c r="D18" s="15">
        <f>"18"&amp;CHAR(10)&amp;IFERROR(VLOOKUP(DATE(2026,11,18),Purple!$A:$J,10,FALSE),"")&amp;IFERROR(CHAR(10)&amp;VLOOKUP(DATE(2026,11,18),Assessments!$H:$I,2,FALSE),"")</f>
        <v/>
      </c>
      <c r="E18" s="16">
        <f>"19"&amp;CHAR(10)&amp;IFERROR(VLOOKUP(DATE(2026,11,19),Gold!$A:$J,10,FALSE),"")&amp;IFERROR(CHAR(10)&amp;VLOOKUP(DATE(2026,11,19),Assessments!$H:$I,2,FALSE),"")</f>
        <v/>
      </c>
      <c r="F18" s="15">
        <f>"20"&amp;CHAR(10)&amp;IFERROR(VLOOKUP(DATE(2026,11,20),Purple!$A:$J,10,FALSE),"")&amp;IFERROR(CHAR(10)&amp;VLOOKUP(DATE(2026,11,20),Assessments!$H:$I,2,FALSE),"")</f>
        <v/>
      </c>
      <c r="G18" s="14" t="inlineStr">
        <is>
          <t>21</t>
        </is>
      </c>
      <c r="I18" s="14" t="inlineStr">
        <is>
          <t>13</t>
        </is>
      </c>
      <c r="J18" s="16">
        <f>"14"&amp;CHAR(10)&amp;IFERROR(VLOOKUP(DATE(2026,12,14),Gold!$A:$J,10,FALSE),"")&amp;IFERROR(CHAR(10)&amp;VLOOKUP(DATE(2026,12,14),Assessments!$H:$I,2,FALSE),"")</f>
        <v/>
      </c>
      <c r="K18" s="15">
        <f>"15"&amp;CHAR(10)&amp;IFERROR(VLOOKUP(DATE(2026,12,15),Purple!$A:$J,10,FALSE),"")&amp;IFERROR(CHAR(10)&amp;VLOOKUP(DATE(2026,12,15),Assessments!$H:$I,2,FALSE),"")</f>
        <v/>
      </c>
      <c r="L18" s="16">
        <f>"16"&amp;CHAR(10)&amp;IFERROR(VLOOKUP(DATE(2026,12,16),Gold!$A:$J,10,FALSE),"")&amp;IFERROR(CHAR(10)&amp;VLOOKUP(DATE(2026,12,16),Assessments!$H:$I,2,FALSE),"")</f>
        <v/>
      </c>
      <c r="M18" s="15">
        <f>"17"&amp;CHAR(10)&amp;IFERROR(VLOOKUP(DATE(2026,12,17),Purple!$A:$J,10,FALSE),"")&amp;IFERROR(CHAR(10)&amp;VLOOKUP(DATE(2026,12,17),Assessments!$H:$I,2,FALSE),"")</f>
        <v/>
      </c>
      <c r="N18" s="16">
        <f>"18"&amp;CHAR(10)&amp;IFERROR(VLOOKUP(DATE(2026,12,18),Gold!$A:$J,10,FALSE),"")&amp;IFERROR(CHAR(10)&amp;VLOOKUP(DATE(2026,12,18),Assessments!$H:$I,2,FALSE),"")</f>
        <v/>
      </c>
      <c r="O18" s="14" t="inlineStr">
        <is>
          <t>19</t>
        </is>
      </c>
      <c r="Q18" s="14" t="inlineStr">
        <is>
          <t>10</t>
        </is>
      </c>
      <c r="R18" s="15">
        <f>"11"&amp;CHAR(10)&amp;IFERROR(VLOOKUP(DATE(2027,1,11),Purple!$A:$J,10,FALSE),"")&amp;IFERROR(CHAR(10)&amp;VLOOKUP(DATE(2027,1,11),Assessments!$H:$I,2,FALSE),"")</f>
        <v/>
      </c>
      <c r="S18" s="16">
        <f>"12"&amp;CHAR(10)&amp;IFERROR(VLOOKUP(DATE(2027,1,12),Gold!$A:$J,10,FALSE),"")&amp;IFERROR(CHAR(10)&amp;VLOOKUP(DATE(2027,1,12),Assessments!$H:$I,2,FALSE),"")</f>
        <v/>
      </c>
      <c r="T18" s="15">
        <f>"13"&amp;CHAR(10)&amp;IFERROR(VLOOKUP(DATE(2027,1,13),Purple!$A:$J,10,FALSE),"")&amp;IFERROR(CHAR(10)&amp;VLOOKUP(DATE(2027,1,13),Assessments!$H:$I,2,FALSE),"")</f>
        <v/>
      </c>
      <c r="U18" s="16">
        <f>"14"&amp;CHAR(10)&amp;IFERROR(VLOOKUP(DATE(2027,1,14),Gold!$A:$J,10,FALSE),"")&amp;IFERROR(CHAR(10)&amp;VLOOKUP(DATE(2027,1,14),Assessments!$H:$I,2,FALSE),"")</f>
        <v/>
      </c>
      <c r="V18" s="15">
        <f>"15"&amp;CHAR(10)&amp;IFERROR(VLOOKUP(DATE(2027,1,15),Purple!$A:$J,10,FALSE),"")&amp;IFERROR(CHAR(10)&amp;VLOOKUP(DATE(2027,1,15),Assessments!$H:$I,2,FALSE),"")</f>
        <v/>
      </c>
      <c r="W18" s="14" t="inlineStr">
        <is>
          <t>16</t>
        </is>
      </c>
    </row>
    <row r="19" ht="40" customHeight="1">
      <c r="A19" s="14" t="inlineStr">
        <is>
          <t>22</t>
        </is>
      </c>
      <c r="B19" s="16">
        <f>"23"&amp;CHAR(10)&amp;IFERROR(VLOOKUP(DATE(2026,11,23),Gold!$A:$J,10,FALSE),"")&amp;IFERROR(CHAR(10)&amp;VLOOKUP(DATE(2026,11,23),Assessments!$H:$I,2,FALSE),"")</f>
        <v/>
      </c>
      <c r="C19" s="15">
        <f>"24"&amp;CHAR(10)&amp;IFERROR(VLOOKUP(DATE(2026,11,24),Purple!$A:$J,10,FALSE),"")&amp;IFERROR(CHAR(10)&amp;VLOOKUP(DATE(2026,11,24),Assessments!$H:$I,2,FALSE),"")</f>
        <v/>
      </c>
      <c r="D19" s="14" t="inlineStr">
        <is>
          <t>25</t>
        </is>
      </c>
      <c r="E19" s="14" t="inlineStr">
        <is>
          <t>26</t>
        </is>
      </c>
      <c r="F19" s="14" t="inlineStr">
        <is>
          <t>27</t>
        </is>
      </c>
      <c r="G19" s="14" t="inlineStr">
        <is>
          <t>28</t>
        </is>
      </c>
      <c r="I19" s="14" t="inlineStr">
        <is>
          <t>20</t>
        </is>
      </c>
      <c r="J19" s="14" t="inlineStr">
        <is>
          <t>21</t>
        </is>
      </c>
      <c r="K19" s="14" t="inlineStr">
        <is>
          <t>22</t>
        </is>
      </c>
      <c r="L19" s="14" t="inlineStr">
        <is>
          <t>23</t>
        </is>
      </c>
      <c r="M19" s="14" t="inlineStr">
        <is>
          <t>24</t>
        </is>
      </c>
      <c r="N19" s="14" t="inlineStr">
        <is>
          <t>25</t>
        </is>
      </c>
      <c r="O19" s="14" t="inlineStr">
        <is>
          <t>26</t>
        </is>
      </c>
      <c r="Q19" s="14" t="inlineStr">
        <is>
          <t>17</t>
        </is>
      </c>
      <c r="R19" s="14" t="inlineStr">
        <is>
          <t>18</t>
        </is>
      </c>
      <c r="S19" s="16">
        <f>"19"&amp;CHAR(10)&amp;IFERROR(VLOOKUP(DATE(2027,1,19),Gold!$A:$J,10,FALSE),"")&amp;IFERROR(CHAR(10)&amp;VLOOKUP(DATE(2027,1,19),Assessments!$H:$I,2,FALSE),"")</f>
        <v/>
      </c>
      <c r="T19" s="17">
        <f>"20"&amp;IFERROR(CHAR(10)&amp;"P: "&amp;VLOOKUP(DATE(2027,1,20),Purple!$A:$J,10,FALSE),"")&amp;IFERROR(CHAR(10)&amp;"G: "&amp;VLOOKUP(DATE(2027,1,20),Gold!$A:$J,10,FALSE),"")&amp;IFERROR(CHAR(10)&amp;VLOOKUP(DATE(2027,1,20),Assessments!$H:$I,2,FALSE),CHAR(10)&amp;"Exam day")</f>
        <v/>
      </c>
      <c r="U19" s="17">
        <f>"21"&amp;IFERROR(CHAR(10)&amp;"P: "&amp;VLOOKUP(DATE(2027,1,21),Purple!$A:$J,10,FALSE),"")&amp;IFERROR(CHAR(10)&amp;"G: "&amp;VLOOKUP(DATE(2027,1,21),Gold!$A:$J,10,FALSE),"")&amp;IFERROR(CHAR(10)&amp;VLOOKUP(DATE(2027,1,21),Assessments!$H:$I,2,FALSE),CHAR(10)&amp;"Exam day")</f>
        <v/>
      </c>
      <c r="V19" s="17">
        <f>"22"&amp;IFERROR(CHAR(10)&amp;"P: "&amp;VLOOKUP(DATE(2027,1,22),Purple!$A:$J,10,FALSE),"")&amp;IFERROR(CHAR(10)&amp;"G: "&amp;VLOOKUP(DATE(2027,1,22),Gold!$A:$J,10,FALSE),"")&amp;IFERROR(CHAR(10)&amp;VLOOKUP(DATE(2027,1,22),Assessments!$H:$I,2,FALSE),CHAR(10)&amp;"Exam day")</f>
        <v/>
      </c>
      <c r="W19" s="14" t="inlineStr">
        <is>
          <t>23</t>
        </is>
      </c>
    </row>
    <row r="20" ht="40" customHeight="1">
      <c r="A20" s="14" t="inlineStr">
        <is>
          <t>29</t>
        </is>
      </c>
      <c r="B20" s="16">
        <f>"30"&amp;CHAR(10)&amp;IFERROR(VLOOKUP(DATE(2026,11,30),Gold!$A:$J,10,FALSE),"")&amp;IFERROR(CHAR(10)&amp;VLOOKUP(DATE(2026,11,30),Assessments!$H:$I,2,FALSE),"")</f>
        <v/>
      </c>
      <c r="C20" s="13" t="n"/>
      <c r="D20" s="13" t="n"/>
      <c r="E20" s="13" t="n"/>
      <c r="F20" s="13" t="n"/>
      <c r="G20" s="13" t="n"/>
      <c r="I20" s="14" t="inlineStr">
        <is>
          <t>27</t>
        </is>
      </c>
      <c r="J20" s="14" t="inlineStr">
        <is>
          <t>28</t>
        </is>
      </c>
      <c r="K20" s="14" t="inlineStr">
        <is>
          <t>29</t>
        </is>
      </c>
      <c r="L20" s="14" t="inlineStr">
        <is>
          <t>30</t>
        </is>
      </c>
      <c r="M20" s="14" t="inlineStr">
        <is>
          <t>31</t>
        </is>
      </c>
      <c r="N20" s="13" t="n"/>
      <c r="O20" s="13" t="n"/>
      <c r="Q20" s="14" t="inlineStr">
        <is>
          <t>24</t>
        </is>
      </c>
      <c r="R20" s="14" t="inlineStr">
        <is>
          <t>25</t>
        </is>
      </c>
      <c r="S20" s="14" t="inlineStr">
        <is>
          <t>26</t>
        </is>
      </c>
      <c r="T20" s="15">
        <f>"27"&amp;CHAR(10)&amp;IFERROR(VLOOKUP(DATE(2027,1,27),Purple!$A:$J,10,FALSE),"")&amp;IFERROR(CHAR(10)&amp;VLOOKUP(DATE(2027,1,27),Assessments!$H:$I,2,FALSE),"")</f>
        <v/>
      </c>
      <c r="U20" s="16">
        <f>"28"&amp;CHAR(10)&amp;IFERROR(VLOOKUP(DATE(2027,1,28),Gold!$A:$J,10,FALSE),"")&amp;IFERROR(CHAR(10)&amp;VLOOKUP(DATE(2027,1,28),Assessments!$H:$I,2,FALSE),"")</f>
        <v/>
      </c>
      <c r="V20" s="15">
        <f>"29"&amp;CHAR(10)&amp;IFERROR(VLOOKUP(DATE(2027,1,29),Purple!$A:$J,10,FALSE),"")&amp;IFERROR(CHAR(10)&amp;VLOOKUP(DATE(2027,1,29),Assessments!$H:$I,2,FALSE),"")</f>
        <v/>
      </c>
      <c r="W20" s="14" t="inlineStr">
        <is>
          <t>30</t>
        </is>
      </c>
    </row>
    <row r="21" ht="40" customHeight="1">
      <c r="A21" s="13" t="n"/>
      <c r="B21" s="13" t="n"/>
      <c r="C21" s="13" t="n"/>
      <c r="D21" s="13" t="n"/>
      <c r="E21" s="13" t="n"/>
      <c r="F21" s="13" t="n"/>
      <c r="G21" s="13" t="n"/>
      <c r="I21" s="13" t="n"/>
      <c r="J21" s="13" t="n"/>
      <c r="K21" s="13" t="n"/>
      <c r="L21" s="13" t="n"/>
      <c r="M21" s="13" t="n"/>
      <c r="N21" s="13" t="n"/>
      <c r="O21" s="13" t="n"/>
      <c r="Q21" s="14" t="inlineStr">
        <is>
          <t>31</t>
        </is>
      </c>
      <c r="R21" s="13" t="n"/>
      <c r="S21" s="13" t="n"/>
      <c r="T21" s="13" t="n"/>
      <c r="U21" s="13" t="n"/>
      <c r="V21" s="13" t="n"/>
      <c r="W21" s="13" t="n"/>
    </row>
    <row r="23">
      <c r="A23" s="11" t="inlineStr">
        <is>
          <t>February 2027</t>
        </is>
      </c>
      <c r="I23" s="11" t="inlineStr">
        <is>
          <t>March 2027</t>
        </is>
      </c>
      <c r="Q23" s="11" t="inlineStr">
        <is>
          <t>April 2027</t>
        </is>
      </c>
    </row>
    <row r="24">
      <c r="A24" s="12" t="inlineStr">
        <is>
          <t>S</t>
        </is>
      </c>
      <c r="B24" s="12" t="inlineStr">
        <is>
          <t>M</t>
        </is>
      </c>
      <c r="C24" s="12" t="inlineStr">
        <is>
          <t>T</t>
        </is>
      </c>
      <c r="D24" s="12" t="inlineStr">
        <is>
          <t>W</t>
        </is>
      </c>
      <c r="E24" s="12" t="inlineStr">
        <is>
          <t>T</t>
        </is>
      </c>
      <c r="F24" s="12" t="inlineStr">
        <is>
          <t>F</t>
        </is>
      </c>
      <c r="G24" s="12" t="inlineStr">
        <is>
          <t>S</t>
        </is>
      </c>
      <c r="I24" s="12" t="inlineStr">
        <is>
          <t>S</t>
        </is>
      </c>
      <c r="J24" s="12" t="inlineStr">
        <is>
          <t>M</t>
        </is>
      </c>
      <c r="K24" s="12" t="inlineStr">
        <is>
          <t>T</t>
        </is>
      </c>
      <c r="L24" s="12" t="inlineStr">
        <is>
          <t>W</t>
        </is>
      </c>
      <c r="M24" s="12" t="inlineStr">
        <is>
          <t>T</t>
        </is>
      </c>
      <c r="N24" s="12" t="inlineStr">
        <is>
          <t>F</t>
        </is>
      </c>
      <c r="O24" s="12" t="inlineStr">
        <is>
          <t>S</t>
        </is>
      </c>
      <c r="Q24" s="12" t="inlineStr">
        <is>
          <t>S</t>
        </is>
      </c>
      <c r="R24" s="12" t="inlineStr">
        <is>
          <t>M</t>
        </is>
      </c>
      <c r="S24" s="12" t="inlineStr">
        <is>
          <t>T</t>
        </is>
      </c>
      <c r="T24" s="12" t="inlineStr">
        <is>
          <t>W</t>
        </is>
      </c>
      <c r="U24" s="12" t="inlineStr">
        <is>
          <t>T</t>
        </is>
      </c>
      <c r="V24" s="12" t="inlineStr">
        <is>
          <t>F</t>
        </is>
      </c>
      <c r="W24" s="12" t="inlineStr">
        <is>
          <t>S</t>
        </is>
      </c>
    </row>
    <row r="25" ht="40" customHeight="1">
      <c r="A25" s="13" t="n"/>
      <c r="B25" s="16">
        <f>"1"&amp;CHAR(10)&amp;IFERROR(VLOOKUP(DATE(2027,2,1),Gold!$A:$J,10,FALSE),"")&amp;IFERROR(CHAR(10)&amp;VLOOKUP(DATE(2027,2,1),Assessments!$H:$I,2,FALSE),"")</f>
        <v/>
      </c>
      <c r="C25" s="15">
        <f>"2"&amp;CHAR(10)&amp;IFERROR(VLOOKUP(DATE(2027,2,2),Purple!$A:$J,10,FALSE),"")&amp;IFERROR(CHAR(10)&amp;VLOOKUP(DATE(2027,2,2),Assessments!$H:$I,2,FALSE),"")</f>
        <v/>
      </c>
      <c r="D25" s="16">
        <f>"3"&amp;CHAR(10)&amp;IFERROR(VLOOKUP(DATE(2027,2,3),Gold!$A:$J,10,FALSE),"")&amp;IFERROR(CHAR(10)&amp;VLOOKUP(DATE(2027,2,3),Assessments!$H:$I,2,FALSE),"")</f>
        <v/>
      </c>
      <c r="E25" s="15">
        <f>"4"&amp;CHAR(10)&amp;IFERROR(VLOOKUP(DATE(2027,2,4),Purple!$A:$J,10,FALSE),"")&amp;IFERROR(CHAR(10)&amp;VLOOKUP(DATE(2027,2,4),Assessments!$H:$I,2,FALSE),"")</f>
        <v/>
      </c>
      <c r="F25" s="16">
        <f>"5"&amp;CHAR(10)&amp;IFERROR(VLOOKUP(DATE(2027,2,5),Gold!$A:$J,10,FALSE),"")&amp;IFERROR(CHAR(10)&amp;VLOOKUP(DATE(2027,2,5),Assessments!$H:$I,2,FALSE),"")</f>
        <v/>
      </c>
      <c r="G25" s="14" t="inlineStr">
        <is>
          <t>6</t>
        </is>
      </c>
      <c r="I25" s="13" t="n"/>
      <c r="J25" s="15">
        <f>"1"&amp;CHAR(10)&amp;IFERROR(VLOOKUP(DATE(2027,3,1),Purple!$A:$J,10,FALSE),"")&amp;IFERROR(CHAR(10)&amp;VLOOKUP(DATE(2027,3,1),Assessments!$H:$I,2,FALSE),"")</f>
        <v/>
      </c>
      <c r="K25" s="16">
        <f>"2"&amp;CHAR(10)&amp;IFERROR(VLOOKUP(DATE(2027,3,2),Gold!$A:$J,10,FALSE),"")&amp;IFERROR(CHAR(10)&amp;VLOOKUP(DATE(2027,3,2),Assessments!$H:$I,2,FALSE),"")</f>
        <v/>
      </c>
      <c r="L25" s="15">
        <f>"3"&amp;CHAR(10)&amp;IFERROR(VLOOKUP(DATE(2027,3,3),Purple!$A:$J,10,FALSE),"")&amp;IFERROR(CHAR(10)&amp;VLOOKUP(DATE(2027,3,3),Assessments!$H:$I,2,FALSE),"")</f>
        <v/>
      </c>
      <c r="M25" s="16">
        <f>"4"&amp;CHAR(10)&amp;IFERROR(VLOOKUP(DATE(2027,3,4),Gold!$A:$J,10,FALSE),"")&amp;IFERROR(CHAR(10)&amp;VLOOKUP(DATE(2027,3,4),Assessments!$H:$I,2,FALSE),"")</f>
        <v/>
      </c>
      <c r="N25" s="18">
        <f>"5"&amp;CHAR(10)&amp;IFERROR(VLOOKUP(DATE(2027,3,5),Purple!$A:$J,10,FALSE),"")&amp;IFERROR(CHAR(10)&amp;VLOOKUP(DATE(2027,3,5),Assessments!$H:$I,2,FALSE),"")</f>
        <v/>
      </c>
      <c r="O25" s="14" t="inlineStr">
        <is>
          <t>6</t>
        </is>
      </c>
      <c r="Q25" s="13" t="n"/>
      <c r="R25" s="13" t="n"/>
      <c r="S25" s="13" t="n"/>
      <c r="T25" s="13" t="n"/>
      <c r="U25" s="16">
        <f>"1"&amp;CHAR(10)&amp;IFERROR(VLOOKUP(DATE(2027,4,1),Gold!$A:$J,10,FALSE),"")&amp;IFERROR(CHAR(10)&amp;VLOOKUP(DATE(2027,4,1),Assessments!$H:$I,2,FALSE),"")</f>
        <v/>
      </c>
      <c r="V25" s="18">
        <f>"2"&amp;CHAR(10)&amp;IFERROR(VLOOKUP(DATE(2027,4,2),Purple!$A:$J,10,FALSE),"")&amp;IFERROR(CHAR(10)&amp;VLOOKUP(DATE(2027,4,2),Assessments!$H:$I,2,FALSE),"")</f>
        <v/>
      </c>
      <c r="W25" s="14" t="inlineStr">
        <is>
          <t>3</t>
        </is>
      </c>
    </row>
    <row r="26" ht="40" customHeight="1">
      <c r="A26" s="14" t="inlineStr">
        <is>
          <t>7</t>
        </is>
      </c>
      <c r="B26" s="15">
        <f>"8"&amp;CHAR(10)&amp;IFERROR(VLOOKUP(DATE(2027,2,8),Purple!$A:$J,10,FALSE),"")&amp;IFERROR(CHAR(10)&amp;VLOOKUP(DATE(2027,2,8),Assessments!$H:$I,2,FALSE),"")</f>
        <v/>
      </c>
      <c r="C26" s="16">
        <f>"9"&amp;CHAR(10)&amp;IFERROR(VLOOKUP(DATE(2027,2,9),Gold!$A:$J,10,FALSE),"")&amp;IFERROR(CHAR(10)&amp;VLOOKUP(DATE(2027,2,9),Assessments!$H:$I,2,FALSE),"")</f>
        <v/>
      </c>
      <c r="D26" s="15">
        <f>"10"&amp;CHAR(10)&amp;IFERROR(VLOOKUP(DATE(2027,2,10),Purple!$A:$J,10,FALSE),"")&amp;IFERROR(CHAR(10)&amp;VLOOKUP(DATE(2027,2,10),Assessments!$H:$I,2,FALSE),"")</f>
        <v/>
      </c>
      <c r="E26" s="16">
        <f>"11"&amp;CHAR(10)&amp;IFERROR(VLOOKUP(DATE(2027,2,11),Gold!$A:$J,10,FALSE),"")&amp;IFERROR(CHAR(10)&amp;VLOOKUP(DATE(2027,2,11),Assessments!$H:$I,2,FALSE),"")</f>
        <v/>
      </c>
      <c r="F26" s="15">
        <f>"12"&amp;CHAR(10)&amp;IFERROR(VLOOKUP(DATE(2027,2,12),Purple!$A:$J,10,FALSE),"")&amp;IFERROR(CHAR(10)&amp;VLOOKUP(DATE(2027,2,12),Assessments!$H:$I,2,FALSE),"")</f>
        <v/>
      </c>
      <c r="G26" s="14" t="inlineStr">
        <is>
          <t>13</t>
        </is>
      </c>
      <c r="I26" s="14" t="inlineStr">
        <is>
          <t>7</t>
        </is>
      </c>
      <c r="J26" s="16">
        <f>"8"&amp;CHAR(10)&amp;IFERROR(VLOOKUP(DATE(2027,3,8),Gold!$A:$J,10,FALSE),"")&amp;IFERROR(CHAR(10)&amp;VLOOKUP(DATE(2027,3,8),Assessments!$H:$I,2,FALSE),"")</f>
        <v/>
      </c>
      <c r="K26" s="15">
        <f>"9"&amp;CHAR(10)&amp;IFERROR(VLOOKUP(DATE(2027,3,9),Purple!$A:$J,10,FALSE),"")&amp;IFERROR(CHAR(10)&amp;VLOOKUP(DATE(2027,3,9),Assessments!$H:$I,2,FALSE),"")</f>
        <v/>
      </c>
      <c r="L26" s="16">
        <f>"10"&amp;CHAR(10)&amp;IFERROR(VLOOKUP(DATE(2027,3,10),Gold!$A:$J,10,FALSE),"")&amp;IFERROR(CHAR(10)&amp;VLOOKUP(DATE(2027,3,10),Assessments!$H:$I,2,FALSE),"")</f>
        <v/>
      </c>
      <c r="M26" s="15">
        <f>"11"&amp;CHAR(10)&amp;IFERROR(VLOOKUP(DATE(2027,3,11),Purple!$A:$J,10,FALSE),"")&amp;IFERROR(CHAR(10)&amp;VLOOKUP(DATE(2027,3,11),Assessments!$H:$I,2,FALSE),"")</f>
        <v/>
      </c>
      <c r="N26" s="16">
        <f>"12"&amp;CHAR(10)&amp;IFERROR(VLOOKUP(DATE(2027,3,12),Gold!$A:$J,10,FALSE),"")&amp;IFERROR(CHAR(10)&amp;VLOOKUP(DATE(2027,3,12),Assessments!$H:$I,2,FALSE),"")</f>
        <v/>
      </c>
      <c r="O26" s="14" t="inlineStr">
        <is>
          <t>13</t>
        </is>
      </c>
      <c r="Q26" s="14" t="inlineStr">
        <is>
          <t>4</t>
        </is>
      </c>
      <c r="R26" s="14" t="inlineStr">
        <is>
          <t>5</t>
        </is>
      </c>
      <c r="S26" s="14" t="inlineStr">
        <is>
          <t>6</t>
        </is>
      </c>
      <c r="T26" s="14" t="inlineStr">
        <is>
          <t>7</t>
        </is>
      </c>
      <c r="U26" s="14" t="inlineStr">
        <is>
          <t>8</t>
        </is>
      </c>
      <c r="V26" s="14" t="inlineStr">
        <is>
          <t>9</t>
        </is>
      </c>
      <c r="W26" s="14" t="inlineStr">
        <is>
          <t>10</t>
        </is>
      </c>
    </row>
    <row r="27" ht="40" customHeight="1">
      <c r="A27" s="14" t="inlineStr">
        <is>
          <t>14</t>
        </is>
      </c>
      <c r="B27" s="14" t="inlineStr">
        <is>
          <t>15</t>
        </is>
      </c>
      <c r="C27" s="16">
        <f>"16"&amp;CHAR(10)&amp;IFERROR(VLOOKUP(DATE(2027,2,16),Gold!$A:$J,10,FALSE),"")&amp;IFERROR(CHAR(10)&amp;VLOOKUP(DATE(2027,2,16),Assessments!$H:$I,2,FALSE),"")</f>
        <v/>
      </c>
      <c r="D27" s="15">
        <f>"17"&amp;CHAR(10)&amp;IFERROR(VLOOKUP(DATE(2027,2,17),Purple!$A:$J,10,FALSE),"")&amp;IFERROR(CHAR(10)&amp;VLOOKUP(DATE(2027,2,17),Assessments!$H:$I,2,FALSE),"")</f>
        <v/>
      </c>
      <c r="E27" s="16">
        <f>"18"&amp;CHAR(10)&amp;IFERROR(VLOOKUP(DATE(2027,2,18),Gold!$A:$J,10,FALSE),"")&amp;IFERROR(CHAR(10)&amp;VLOOKUP(DATE(2027,2,18),Assessments!$H:$I,2,FALSE),"")</f>
        <v/>
      </c>
      <c r="F27" s="15">
        <f>"19"&amp;CHAR(10)&amp;IFERROR(VLOOKUP(DATE(2027,2,19),Purple!$A:$J,10,FALSE),"")&amp;IFERROR(CHAR(10)&amp;VLOOKUP(DATE(2027,2,19),Assessments!$H:$I,2,FALSE),"")</f>
        <v/>
      </c>
      <c r="G27" s="14" t="inlineStr">
        <is>
          <t>20</t>
        </is>
      </c>
      <c r="I27" s="14" t="inlineStr">
        <is>
          <t>14</t>
        </is>
      </c>
      <c r="J27" s="15">
        <f>"15"&amp;CHAR(10)&amp;IFERROR(VLOOKUP(DATE(2027,3,15),Purple!$A:$J,10,FALSE),"")&amp;IFERROR(CHAR(10)&amp;VLOOKUP(DATE(2027,3,15),Assessments!$H:$I,2,FALSE),"")</f>
        <v/>
      </c>
      <c r="K27" s="16">
        <f>"16"&amp;CHAR(10)&amp;IFERROR(VLOOKUP(DATE(2027,3,16),Gold!$A:$J,10,FALSE),"")&amp;IFERROR(CHAR(10)&amp;VLOOKUP(DATE(2027,3,16),Assessments!$H:$I,2,FALSE),"")</f>
        <v/>
      </c>
      <c r="L27" s="15">
        <f>"17"&amp;CHAR(10)&amp;IFERROR(VLOOKUP(DATE(2027,3,17),Purple!$A:$J,10,FALSE),"")&amp;IFERROR(CHAR(10)&amp;VLOOKUP(DATE(2027,3,17),Assessments!$H:$I,2,FALSE),"")</f>
        <v/>
      </c>
      <c r="M27" s="16">
        <f>"18"&amp;CHAR(10)&amp;IFERROR(VLOOKUP(DATE(2027,3,18),Gold!$A:$J,10,FALSE),"")&amp;IFERROR(CHAR(10)&amp;VLOOKUP(DATE(2027,3,18),Assessments!$H:$I,2,FALSE),"")</f>
        <v/>
      </c>
      <c r="N27" s="15">
        <f>"19"&amp;CHAR(10)&amp;IFERROR(VLOOKUP(DATE(2027,3,19),Purple!$A:$J,10,FALSE),"")&amp;IFERROR(CHAR(10)&amp;VLOOKUP(DATE(2027,3,19),Assessments!$H:$I,2,FALSE),"")</f>
        <v/>
      </c>
      <c r="O27" s="14" t="inlineStr">
        <is>
          <t>20</t>
        </is>
      </c>
      <c r="Q27" s="14" t="inlineStr">
        <is>
          <t>11</t>
        </is>
      </c>
      <c r="R27" s="14" t="inlineStr">
        <is>
          <t>12</t>
        </is>
      </c>
      <c r="S27" s="16">
        <f>"13"&amp;CHAR(10)&amp;IFERROR(VLOOKUP(DATE(2027,4,13),Gold!$A:$J,10,FALSE),"")&amp;IFERROR(CHAR(10)&amp;VLOOKUP(DATE(2027,4,13),Assessments!$H:$I,2,FALSE),"")</f>
        <v/>
      </c>
      <c r="T27" s="15">
        <f>"14"&amp;CHAR(10)&amp;IFERROR(VLOOKUP(DATE(2027,4,14),Purple!$A:$J,10,FALSE),"")&amp;IFERROR(CHAR(10)&amp;VLOOKUP(DATE(2027,4,14),Assessments!$H:$I,2,FALSE),"")</f>
        <v/>
      </c>
      <c r="U27" s="16">
        <f>"15"&amp;CHAR(10)&amp;IFERROR(VLOOKUP(DATE(2027,4,15),Gold!$A:$J,10,FALSE),"")&amp;IFERROR(CHAR(10)&amp;VLOOKUP(DATE(2027,4,15),Assessments!$H:$I,2,FALSE),"")</f>
        <v/>
      </c>
      <c r="V27" s="15">
        <f>"16"&amp;CHAR(10)&amp;IFERROR(VLOOKUP(DATE(2027,4,16),Purple!$A:$J,10,FALSE),"")&amp;IFERROR(CHAR(10)&amp;VLOOKUP(DATE(2027,4,16),Assessments!$H:$I,2,FALSE),"")</f>
        <v/>
      </c>
      <c r="W27" s="14" t="inlineStr">
        <is>
          <t>17</t>
        </is>
      </c>
    </row>
    <row r="28" ht="40" customHeight="1">
      <c r="A28" s="14" t="inlineStr">
        <is>
          <t>21</t>
        </is>
      </c>
      <c r="B28" s="16">
        <f>"22"&amp;CHAR(10)&amp;IFERROR(VLOOKUP(DATE(2027,2,22),Gold!$A:$J,10,FALSE),"")&amp;IFERROR(CHAR(10)&amp;VLOOKUP(DATE(2027,2,22),Assessments!$H:$I,2,FALSE),"")</f>
        <v/>
      </c>
      <c r="C28" s="15">
        <f>"23"&amp;CHAR(10)&amp;IFERROR(VLOOKUP(DATE(2027,2,23),Purple!$A:$J,10,FALSE),"")&amp;IFERROR(CHAR(10)&amp;VLOOKUP(DATE(2027,2,23),Assessments!$H:$I,2,FALSE),"")</f>
        <v/>
      </c>
      <c r="D28" s="16">
        <f>"24"&amp;CHAR(10)&amp;IFERROR(VLOOKUP(DATE(2027,2,24),Gold!$A:$J,10,FALSE),"")&amp;IFERROR(CHAR(10)&amp;VLOOKUP(DATE(2027,2,24),Assessments!$H:$I,2,FALSE),"")</f>
        <v/>
      </c>
      <c r="E28" s="15">
        <f>"25"&amp;CHAR(10)&amp;IFERROR(VLOOKUP(DATE(2027,2,25),Purple!$A:$J,10,FALSE),"")&amp;IFERROR(CHAR(10)&amp;VLOOKUP(DATE(2027,2,25),Assessments!$H:$I,2,FALSE),"")</f>
        <v/>
      </c>
      <c r="F28" s="16">
        <f>"26"&amp;CHAR(10)&amp;IFERROR(VLOOKUP(DATE(2027,2,26),Gold!$A:$J,10,FALSE),"")&amp;IFERROR(CHAR(10)&amp;VLOOKUP(DATE(2027,2,26),Assessments!$H:$I,2,FALSE),"")</f>
        <v/>
      </c>
      <c r="G28" s="14" t="inlineStr">
        <is>
          <t>27</t>
        </is>
      </c>
      <c r="I28" s="14" t="inlineStr">
        <is>
          <t>21</t>
        </is>
      </c>
      <c r="J28" s="16">
        <f>"22"&amp;CHAR(10)&amp;IFERROR(VLOOKUP(DATE(2027,3,22),Gold!$A:$J,10,FALSE),"")&amp;IFERROR(CHAR(10)&amp;VLOOKUP(DATE(2027,3,22),Assessments!$H:$I,2,FALSE),"")</f>
        <v/>
      </c>
      <c r="K28" s="15">
        <f>"23"&amp;CHAR(10)&amp;IFERROR(VLOOKUP(DATE(2027,3,23),Purple!$A:$J,10,FALSE),"")&amp;IFERROR(CHAR(10)&amp;VLOOKUP(DATE(2027,3,23),Assessments!$H:$I,2,FALSE),"")</f>
        <v/>
      </c>
      <c r="L28" s="16">
        <f>"24"&amp;CHAR(10)&amp;IFERROR(VLOOKUP(DATE(2027,3,24),Gold!$A:$J,10,FALSE),"")&amp;IFERROR(CHAR(10)&amp;VLOOKUP(DATE(2027,3,24),Assessments!$H:$I,2,FALSE),"")</f>
        <v/>
      </c>
      <c r="M28" s="15">
        <f>"25"&amp;CHAR(10)&amp;IFERROR(VLOOKUP(DATE(2027,3,25),Purple!$A:$J,10,FALSE),"")&amp;IFERROR(CHAR(10)&amp;VLOOKUP(DATE(2027,3,25),Assessments!$H:$I,2,FALSE),"")</f>
        <v/>
      </c>
      <c r="N28" s="16">
        <f>"26"&amp;CHAR(10)&amp;IFERROR(VLOOKUP(DATE(2027,3,26),Gold!$A:$J,10,FALSE),"")&amp;IFERROR(CHAR(10)&amp;VLOOKUP(DATE(2027,3,26),Assessments!$H:$I,2,FALSE),"")</f>
        <v/>
      </c>
      <c r="O28" s="14" t="inlineStr">
        <is>
          <t>27</t>
        </is>
      </c>
      <c r="Q28" s="14" t="inlineStr">
        <is>
          <t>18</t>
        </is>
      </c>
      <c r="R28" s="16">
        <f>"19"&amp;CHAR(10)&amp;IFERROR(VLOOKUP(DATE(2027,4,19),Gold!$A:$J,10,FALSE),"")&amp;IFERROR(CHAR(10)&amp;VLOOKUP(DATE(2027,4,19),Assessments!$H:$I,2,FALSE),"")</f>
        <v/>
      </c>
      <c r="S28" s="15">
        <f>"20"&amp;CHAR(10)&amp;IFERROR(VLOOKUP(DATE(2027,4,20),Purple!$A:$J,10,FALSE),"")&amp;IFERROR(CHAR(10)&amp;VLOOKUP(DATE(2027,4,20),Assessments!$H:$I,2,FALSE),"")</f>
        <v/>
      </c>
      <c r="T28" s="16">
        <f>"21"&amp;CHAR(10)&amp;IFERROR(VLOOKUP(DATE(2027,4,21),Gold!$A:$J,10,FALSE),"")&amp;IFERROR(CHAR(10)&amp;VLOOKUP(DATE(2027,4,21),Assessments!$H:$I,2,FALSE),"")</f>
        <v/>
      </c>
      <c r="U28" s="15">
        <f>"22"&amp;CHAR(10)&amp;IFERROR(VLOOKUP(DATE(2027,4,22),Purple!$A:$J,10,FALSE),"")&amp;IFERROR(CHAR(10)&amp;VLOOKUP(DATE(2027,4,22),Assessments!$H:$I,2,FALSE),"")</f>
        <v/>
      </c>
      <c r="V28" s="16">
        <f>"23"&amp;CHAR(10)&amp;IFERROR(VLOOKUP(DATE(2027,4,23),Gold!$A:$J,10,FALSE),"")&amp;IFERROR(CHAR(10)&amp;VLOOKUP(DATE(2027,4,23),Assessments!$H:$I,2,FALSE),"")</f>
        <v/>
      </c>
      <c r="W28" s="14" t="inlineStr">
        <is>
          <t>24</t>
        </is>
      </c>
    </row>
    <row r="29" ht="40" customHeight="1">
      <c r="A29" s="14" t="inlineStr">
        <is>
          <t>28</t>
        </is>
      </c>
      <c r="B29" s="13" t="n"/>
      <c r="C29" s="13" t="n"/>
      <c r="D29" s="13" t="n"/>
      <c r="E29" s="13" t="n"/>
      <c r="F29" s="13" t="n"/>
      <c r="G29" s="13" t="n"/>
      <c r="I29" s="14" t="inlineStr">
        <is>
          <t>28</t>
        </is>
      </c>
      <c r="J29" s="15">
        <f>"29"&amp;CHAR(10)&amp;IFERROR(VLOOKUP(DATE(2027,3,29),Purple!$A:$J,10,FALSE),"")&amp;IFERROR(CHAR(10)&amp;VLOOKUP(DATE(2027,3,29),Assessments!$H:$I,2,FALSE),"")</f>
        <v/>
      </c>
      <c r="K29" s="16">
        <f>"30"&amp;CHAR(10)&amp;IFERROR(VLOOKUP(DATE(2027,3,30),Gold!$A:$J,10,FALSE),"")&amp;IFERROR(CHAR(10)&amp;VLOOKUP(DATE(2027,3,30),Assessments!$H:$I,2,FALSE),"")</f>
        <v/>
      </c>
      <c r="L29" s="15">
        <f>"31"&amp;CHAR(10)&amp;IFERROR(VLOOKUP(DATE(2027,3,31),Purple!$A:$J,10,FALSE),"")&amp;IFERROR(CHAR(10)&amp;VLOOKUP(DATE(2027,3,31),Assessments!$H:$I,2,FALSE),"")</f>
        <v/>
      </c>
      <c r="M29" s="13" t="n"/>
      <c r="N29" s="13" t="n"/>
      <c r="O29" s="13" t="n"/>
      <c r="Q29" s="14" t="inlineStr">
        <is>
          <t>25</t>
        </is>
      </c>
      <c r="R29" s="15">
        <f>"26"&amp;CHAR(10)&amp;IFERROR(VLOOKUP(DATE(2027,4,26),Purple!$A:$J,10,FALSE),"")&amp;IFERROR(CHAR(10)&amp;VLOOKUP(DATE(2027,4,26),Assessments!$H:$I,2,FALSE),"")</f>
        <v/>
      </c>
      <c r="S29" s="16">
        <f>"27"&amp;CHAR(10)&amp;IFERROR(VLOOKUP(DATE(2027,4,27),Gold!$A:$J,10,FALSE),"")&amp;IFERROR(CHAR(10)&amp;VLOOKUP(DATE(2027,4,27),Assessments!$H:$I,2,FALSE),"")</f>
        <v/>
      </c>
      <c r="T29" s="15">
        <f>"28"&amp;CHAR(10)&amp;IFERROR(VLOOKUP(DATE(2027,4,28),Purple!$A:$J,10,FALSE),"")&amp;IFERROR(CHAR(10)&amp;VLOOKUP(DATE(2027,4,28),Assessments!$H:$I,2,FALSE),"")</f>
        <v/>
      </c>
      <c r="U29" s="16">
        <f>"29"&amp;CHAR(10)&amp;IFERROR(VLOOKUP(DATE(2027,4,29),Gold!$A:$J,10,FALSE),"")&amp;IFERROR(CHAR(10)&amp;VLOOKUP(DATE(2027,4,29),Assessments!$H:$I,2,FALSE),"")</f>
        <v/>
      </c>
      <c r="V29" s="15">
        <f>"30"&amp;CHAR(10)&amp;IFERROR(VLOOKUP(DATE(2027,4,30),Purple!$A:$J,10,FALSE),"")&amp;IFERROR(CHAR(10)&amp;VLOOKUP(DATE(2027,4,30),Assessments!$H:$I,2,FALSE),"")</f>
        <v/>
      </c>
      <c r="W29" s="13" t="n"/>
    </row>
    <row r="30" ht="40" customHeight="1">
      <c r="A30" s="13" t="n"/>
      <c r="B30" s="13" t="n"/>
      <c r="C30" s="13" t="n"/>
      <c r="D30" s="13" t="n"/>
      <c r="E30" s="13" t="n"/>
      <c r="F30" s="13" t="n"/>
      <c r="G30" s="13" t="n"/>
      <c r="I30" s="13" t="n"/>
      <c r="J30" s="13" t="n"/>
      <c r="K30" s="13" t="n"/>
      <c r="L30" s="13" t="n"/>
      <c r="M30" s="13" t="n"/>
      <c r="N30" s="13" t="n"/>
      <c r="O30" s="13" t="n"/>
      <c r="Q30" s="13" t="n"/>
      <c r="R30" s="13" t="n"/>
      <c r="S30" s="13" t="n"/>
      <c r="T30" s="13" t="n"/>
      <c r="U30" s="13" t="n"/>
      <c r="V30" s="13" t="n"/>
      <c r="W30" s="13" t="n"/>
    </row>
    <row r="32">
      <c r="A32" s="11" t="inlineStr">
        <is>
          <t>May 2027</t>
        </is>
      </c>
      <c r="I32" s="11" t="inlineStr">
        <is>
          <t>June 2027</t>
        </is>
      </c>
    </row>
    <row r="33">
      <c r="A33" s="12" t="inlineStr">
        <is>
          <t>S</t>
        </is>
      </c>
      <c r="B33" s="12" t="inlineStr">
        <is>
          <t>M</t>
        </is>
      </c>
      <c r="C33" s="12" t="inlineStr">
        <is>
          <t>T</t>
        </is>
      </c>
      <c r="D33" s="12" t="inlineStr">
        <is>
          <t>W</t>
        </is>
      </c>
      <c r="E33" s="12" t="inlineStr">
        <is>
          <t>T</t>
        </is>
      </c>
      <c r="F33" s="12" t="inlineStr">
        <is>
          <t>F</t>
        </is>
      </c>
      <c r="G33" s="12" t="inlineStr">
        <is>
          <t>S</t>
        </is>
      </c>
      <c r="I33" s="12" t="inlineStr">
        <is>
          <t>S</t>
        </is>
      </c>
      <c r="J33" s="12" t="inlineStr">
        <is>
          <t>M</t>
        </is>
      </c>
      <c r="K33" s="12" t="inlineStr">
        <is>
          <t>T</t>
        </is>
      </c>
      <c r="L33" s="12" t="inlineStr">
        <is>
          <t>W</t>
        </is>
      </c>
      <c r="M33" s="12" t="inlineStr">
        <is>
          <t>T</t>
        </is>
      </c>
      <c r="N33" s="12" t="inlineStr">
        <is>
          <t>F</t>
        </is>
      </c>
      <c r="O33" s="12" t="inlineStr">
        <is>
          <t>S</t>
        </is>
      </c>
    </row>
    <row r="34" ht="40" customHeight="1">
      <c r="A34" s="13" t="n"/>
      <c r="B34" s="13" t="n"/>
      <c r="C34" s="13" t="n"/>
      <c r="D34" s="13" t="n"/>
      <c r="E34" s="13" t="n"/>
      <c r="F34" s="13" t="n"/>
      <c r="G34" s="14" t="inlineStr">
        <is>
          <t>1</t>
        </is>
      </c>
      <c r="I34" s="13" t="n"/>
      <c r="J34" s="13" t="n"/>
      <c r="K34" s="16">
        <f>"1"&amp;CHAR(10)&amp;IFERROR(VLOOKUP(DATE(2027,6,1),Gold!$A:$J,10,FALSE),"")&amp;IFERROR(CHAR(10)&amp;VLOOKUP(DATE(2027,6,1),Assessments!$H:$I,2,FALSE),"")</f>
        <v/>
      </c>
      <c r="L34" s="15">
        <f>"2"&amp;CHAR(10)&amp;IFERROR(VLOOKUP(DATE(2027,6,2),Purple!$A:$J,10,FALSE),"")&amp;IFERROR(CHAR(10)&amp;VLOOKUP(DATE(2027,6,2),Assessments!$H:$I,2,FALSE),"")</f>
        <v/>
      </c>
      <c r="M34" s="16">
        <f>"3"&amp;CHAR(10)&amp;IFERROR(VLOOKUP(DATE(2027,6,3),Gold!$A:$J,10,FALSE),"")&amp;IFERROR(CHAR(10)&amp;VLOOKUP(DATE(2027,6,3),Assessments!$H:$I,2,FALSE),"")</f>
        <v/>
      </c>
      <c r="N34" s="17">
        <f>"4"&amp;IFERROR(CHAR(10)&amp;"P: "&amp;VLOOKUP(DATE(2027,6,4),Purple!$A:$J,10,FALSE),"")&amp;IFERROR(CHAR(10)&amp;"G: "&amp;VLOOKUP(DATE(2027,6,4),Gold!$A:$J,10,FALSE),"")&amp;IFERROR(CHAR(10)&amp;VLOOKUP(DATE(2027,6,4),Assessments!$H:$I,2,FALSE),CHAR(10)&amp;"Exam day")</f>
        <v/>
      </c>
      <c r="O34" s="14" t="inlineStr">
        <is>
          <t>5</t>
        </is>
      </c>
    </row>
    <row r="35" ht="40" customHeight="1">
      <c r="A35" s="14" t="inlineStr">
        <is>
          <t>2</t>
        </is>
      </c>
      <c r="B35" s="16">
        <f>"3"&amp;CHAR(10)&amp;IFERROR(VLOOKUP(DATE(2027,5,3),Gold!$A:$J,10,FALSE),"")&amp;IFERROR(CHAR(10)&amp;VLOOKUP(DATE(2027,5,3),Assessments!$H:$I,2,FALSE),"")</f>
        <v/>
      </c>
      <c r="C35" s="15">
        <f>"4"&amp;CHAR(10)&amp;IFERROR(VLOOKUP(DATE(2027,5,4),Purple!$A:$J,10,FALSE),"")&amp;IFERROR(CHAR(10)&amp;VLOOKUP(DATE(2027,5,4),Assessments!$H:$I,2,FALSE),"")</f>
        <v/>
      </c>
      <c r="D35" s="16">
        <f>"5"&amp;CHAR(10)&amp;IFERROR(VLOOKUP(DATE(2027,5,5),Gold!$A:$J,10,FALSE),"")&amp;IFERROR(CHAR(10)&amp;VLOOKUP(DATE(2027,5,5),Assessments!$H:$I,2,FALSE),"")</f>
        <v/>
      </c>
      <c r="E35" s="15">
        <f>"6"&amp;CHAR(10)&amp;IFERROR(VLOOKUP(DATE(2027,5,6),Purple!$A:$J,10,FALSE),"")&amp;IFERROR(CHAR(10)&amp;VLOOKUP(DATE(2027,5,6),Assessments!$H:$I,2,FALSE),"")</f>
        <v/>
      </c>
      <c r="F35" s="16">
        <f>"7"&amp;CHAR(10)&amp;IFERROR(VLOOKUP(DATE(2027,5,7),Gold!$A:$J,10,FALSE),"")&amp;IFERROR(CHAR(10)&amp;VLOOKUP(DATE(2027,5,7),Assessments!$H:$I,2,FALSE),"")</f>
        <v/>
      </c>
      <c r="G35" s="14" t="inlineStr">
        <is>
          <t>8</t>
        </is>
      </c>
      <c r="I35" s="14" t="inlineStr">
        <is>
          <t>6</t>
        </is>
      </c>
      <c r="J35" s="17">
        <f>"7"&amp;IFERROR(CHAR(10)&amp;"P: "&amp;VLOOKUP(DATE(2027,6,7),Purple!$A:$J,10,FALSE),"")&amp;IFERROR(CHAR(10)&amp;"G: "&amp;VLOOKUP(DATE(2027,6,7),Gold!$A:$J,10,FALSE),"")&amp;IFERROR(CHAR(10)&amp;VLOOKUP(DATE(2027,6,7),Assessments!$H:$I,2,FALSE),CHAR(10)&amp;"Exam day")</f>
        <v/>
      </c>
      <c r="K35" s="17">
        <f>"8"&amp;IFERROR(CHAR(10)&amp;"P: "&amp;VLOOKUP(DATE(2027,6,8),Purple!$A:$J,10,FALSE),"")&amp;IFERROR(CHAR(10)&amp;"G: "&amp;VLOOKUP(DATE(2027,6,8),Gold!$A:$J,10,FALSE),"")&amp;IFERROR(CHAR(10)&amp;VLOOKUP(DATE(2027,6,8),Assessments!$H:$I,2,FALSE),CHAR(10)&amp;"Exam day")</f>
        <v/>
      </c>
      <c r="L35" s="14" t="inlineStr">
        <is>
          <t>9</t>
        </is>
      </c>
      <c r="M35" s="14" t="inlineStr">
        <is>
          <t>10</t>
        </is>
      </c>
      <c r="N35" s="14" t="inlineStr">
        <is>
          <t>11</t>
        </is>
      </c>
      <c r="O35" s="14" t="inlineStr">
        <is>
          <t>12</t>
        </is>
      </c>
    </row>
    <row r="36" ht="40" customHeight="1">
      <c r="A36" s="14" t="inlineStr">
        <is>
          <t>9</t>
        </is>
      </c>
      <c r="B36" s="15">
        <f>"10"&amp;CHAR(10)&amp;IFERROR(VLOOKUP(DATE(2027,5,10),Purple!$A:$J,10,FALSE),"")&amp;IFERROR(CHAR(10)&amp;VLOOKUP(DATE(2027,5,10),Assessments!$H:$I,2,FALSE),"")</f>
        <v/>
      </c>
      <c r="C36" s="16">
        <f>"11"&amp;CHAR(10)&amp;IFERROR(VLOOKUP(DATE(2027,5,11),Gold!$A:$J,10,FALSE),"")&amp;IFERROR(CHAR(10)&amp;VLOOKUP(DATE(2027,5,11),Assessments!$H:$I,2,FALSE),"")</f>
        <v/>
      </c>
      <c r="D36" s="15">
        <f>"12"&amp;CHAR(10)&amp;IFERROR(VLOOKUP(DATE(2027,5,12),Purple!$A:$J,10,FALSE),"")&amp;IFERROR(CHAR(10)&amp;VLOOKUP(DATE(2027,5,12),Assessments!$H:$I,2,FALSE),"")</f>
        <v/>
      </c>
      <c r="E36" s="16">
        <f>"13"&amp;CHAR(10)&amp;IFERROR(VLOOKUP(DATE(2027,5,13),Gold!$A:$J,10,FALSE),"")&amp;IFERROR(CHAR(10)&amp;VLOOKUP(DATE(2027,5,13),Assessments!$H:$I,2,FALSE),"")</f>
        <v/>
      </c>
      <c r="F36" s="15">
        <f>"14"&amp;CHAR(10)&amp;IFERROR(VLOOKUP(DATE(2027,5,14),Purple!$A:$J,10,FALSE),"")&amp;IFERROR(CHAR(10)&amp;VLOOKUP(DATE(2027,5,14),Assessments!$H:$I,2,FALSE),"")</f>
        <v/>
      </c>
      <c r="G36" s="14" t="inlineStr">
        <is>
          <t>15</t>
        </is>
      </c>
      <c r="I36" s="14" t="inlineStr">
        <is>
          <t>13</t>
        </is>
      </c>
      <c r="J36" s="14" t="inlineStr">
        <is>
          <t>14</t>
        </is>
      </c>
      <c r="K36" s="14" t="inlineStr">
        <is>
          <t>15</t>
        </is>
      </c>
      <c r="L36" s="14" t="inlineStr">
        <is>
          <t>16</t>
        </is>
      </c>
      <c r="M36" s="14" t="inlineStr">
        <is>
          <t>17</t>
        </is>
      </c>
      <c r="N36" s="14" t="inlineStr">
        <is>
          <t>18</t>
        </is>
      </c>
      <c r="O36" s="14" t="inlineStr">
        <is>
          <t>19</t>
        </is>
      </c>
    </row>
    <row r="37" ht="40" customHeight="1">
      <c r="A37" s="14" t="inlineStr">
        <is>
          <t>16</t>
        </is>
      </c>
      <c r="B37" s="16">
        <f>"17"&amp;CHAR(10)&amp;IFERROR(VLOOKUP(DATE(2027,5,17),Gold!$A:$J,10,FALSE),"")&amp;IFERROR(CHAR(10)&amp;VLOOKUP(DATE(2027,5,17),Assessments!$H:$I,2,FALSE),"")</f>
        <v/>
      </c>
      <c r="C37" s="15">
        <f>"18"&amp;CHAR(10)&amp;IFERROR(VLOOKUP(DATE(2027,5,18),Purple!$A:$J,10,FALSE),"")&amp;IFERROR(CHAR(10)&amp;VLOOKUP(DATE(2027,5,18),Assessments!$H:$I,2,FALSE),"")</f>
        <v/>
      </c>
      <c r="D37" s="16">
        <f>"19"&amp;CHAR(10)&amp;IFERROR(VLOOKUP(DATE(2027,5,19),Gold!$A:$J,10,FALSE),"")&amp;IFERROR(CHAR(10)&amp;VLOOKUP(DATE(2027,5,19),Assessments!$H:$I,2,FALSE),"")</f>
        <v/>
      </c>
      <c r="E37" s="15">
        <f>"20"&amp;CHAR(10)&amp;IFERROR(VLOOKUP(DATE(2027,5,20),Purple!$A:$J,10,FALSE),"")&amp;IFERROR(CHAR(10)&amp;VLOOKUP(DATE(2027,5,20),Assessments!$H:$I,2,FALSE),"")</f>
        <v/>
      </c>
      <c r="F37" s="16">
        <f>"21"&amp;CHAR(10)&amp;IFERROR(VLOOKUP(DATE(2027,5,21),Gold!$A:$J,10,FALSE),"")&amp;IFERROR(CHAR(10)&amp;VLOOKUP(DATE(2027,5,21),Assessments!$H:$I,2,FALSE),"")</f>
        <v/>
      </c>
      <c r="G37" s="14" t="inlineStr">
        <is>
          <t>22</t>
        </is>
      </c>
      <c r="I37" s="14" t="inlineStr">
        <is>
          <t>20</t>
        </is>
      </c>
      <c r="J37" s="14" t="inlineStr">
        <is>
          <t>21</t>
        </is>
      </c>
      <c r="K37" s="14" t="inlineStr">
        <is>
          <t>22</t>
        </is>
      </c>
      <c r="L37" s="14" t="inlineStr">
        <is>
          <t>23</t>
        </is>
      </c>
      <c r="M37" s="14" t="inlineStr">
        <is>
          <t>24</t>
        </is>
      </c>
      <c r="N37" s="14" t="inlineStr">
        <is>
          <t>25</t>
        </is>
      </c>
      <c r="O37" s="14" t="inlineStr">
        <is>
          <t>26</t>
        </is>
      </c>
    </row>
    <row r="38" ht="40" customHeight="1">
      <c r="A38" s="14" t="inlineStr">
        <is>
          <t>23</t>
        </is>
      </c>
      <c r="B38" s="15">
        <f>"24"&amp;CHAR(10)&amp;IFERROR(VLOOKUP(DATE(2027,5,24),Purple!$A:$J,10,FALSE),"")&amp;IFERROR(CHAR(10)&amp;VLOOKUP(DATE(2027,5,24),Assessments!$H:$I,2,FALSE),"")</f>
        <v/>
      </c>
      <c r="C38" s="16">
        <f>"25"&amp;CHAR(10)&amp;IFERROR(VLOOKUP(DATE(2027,5,25),Gold!$A:$J,10,FALSE),"")&amp;IFERROR(CHAR(10)&amp;VLOOKUP(DATE(2027,5,25),Assessments!$H:$I,2,FALSE),"")</f>
        <v/>
      </c>
      <c r="D38" s="15">
        <f>"26"&amp;CHAR(10)&amp;IFERROR(VLOOKUP(DATE(2027,5,26),Purple!$A:$J,10,FALSE),"")&amp;IFERROR(CHAR(10)&amp;VLOOKUP(DATE(2027,5,26),Assessments!$H:$I,2,FALSE),"")</f>
        <v/>
      </c>
      <c r="E38" s="16">
        <f>"27"&amp;CHAR(10)&amp;IFERROR(VLOOKUP(DATE(2027,5,27),Gold!$A:$J,10,FALSE),"")&amp;IFERROR(CHAR(10)&amp;VLOOKUP(DATE(2027,5,27),Assessments!$H:$I,2,FALSE),"")</f>
        <v/>
      </c>
      <c r="F38" s="18">
        <f>"28"&amp;CHAR(10)&amp;IFERROR(VLOOKUP(DATE(2027,5,28),Purple!$A:$J,10,FALSE),"")&amp;IFERROR(CHAR(10)&amp;VLOOKUP(DATE(2027,5,28),Assessments!$H:$I,2,FALSE),"")</f>
        <v/>
      </c>
      <c r="G38" s="14" t="inlineStr">
        <is>
          <t>29</t>
        </is>
      </c>
      <c r="I38" s="14" t="inlineStr">
        <is>
          <t>27</t>
        </is>
      </c>
      <c r="J38" s="14" t="inlineStr">
        <is>
          <t>28</t>
        </is>
      </c>
      <c r="K38" s="14" t="inlineStr">
        <is>
          <t>29</t>
        </is>
      </c>
      <c r="L38" s="14" t="inlineStr">
        <is>
          <t>30</t>
        </is>
      </c>
      <c r="M38" s="13" t="n"/>
      <c r="N38" s="13" t="n"/>
      <c r="O38" s="13" t="n"/>
    </row>
    <row r="39" ht="40" customHeight="1">
      <c r="A39" s="14" t="inlineStr">
        <is>
          <t>30</t>
        </is>
      </c>
      <c r="B39" s="14" t="inlineStr">
        <is>
          <t>31</t>
        </is>
      </c>
      <c r="C39" s="13" t="n"/>
      <c r="D39" s="13" t="n"/>
      <c r="E39" s="13" t="n"/>
      <c r="F39" s="13" t="n"/>
      <c r="G39" s="13" t="n"/>
      <c r="I39" s="13" t="n"/>
      <c r="J39" s="13" t="n"/>
      <c r="K39" s="13" t="n"/>
      <c r="L39" s="13" t="n"/>
      <c r="M39" s="13" t="n"/>
      <c r="N39" s="13" t="n"/>
      <c r="O39" s="13" t="n"/>
    </row>
  </sheetData>
  <mergeCells count="16">
    <mergeCell ref="D2:F2"/>
    <mergeCell ref="A32:G32"/>
    <mergeCell ref="G2:I2"/>
    <mergeCell ref="I5:O5"/>
    <mergeCell ref="J2:L2"/>
    <mergeCell ref="A14:G14"/>
    <mergeCell ref="I14:O14"/>
    <mergeCell ref="I23:O23"/>
    <mergeCell ref="Q23:W23"/>
    <mergeCell ref="A23:G23"/>
    <mergeCell ref="I32:O32"/>
    <mergeCell ref="Q5:W5"/>
    <mergeCell ref="M2:O2"/>
    <mergeCell ref="A2:C2"/>
    <mergeCell ref="A5:G5"/>
    <mergeCell ref="Q14:W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22" customWidth="1" min="3" max="3"/>
    <col width="22" customWidth="1" min="4" max="4"/>
    <col width="12" customWidth="1" min="5" max="5"/>
    <col width="45" customWidth="1" min="6" max="6"/>
    <col width="60" customWidth="1" min="7" max="7"/>
    <col width="26" customWidth="1" min="8" max="8"/>
    <col width="30" customWidth="1" min="9" max="9"/>
    <col width="22" customWidth="1" min="10" max="10"/>
    <col width="40" customWidth="1" min="11" max="11"/>
    <col width="34" customWidth="1" min="12" max="12"/>
  </cols>
  <sheetData>
    <row r="1">
      <c r="A1" s="19" t="inlineStr">
        <is>
          <t>Lesson ID</t>
        </is>
      </c>
      <c r="B1" s="19" t="inlineStr">
        <is>
          <t>Unit</t>
        </is>
      </c>
      <c r="C1" s="19" t="inlineStr">
        <is>
          <t>Unit title</t>
        </is>
      </c>
      <c r="D1" s="19" t="inlineStr">
        <is>
          <t>Lesson</t>
        </is>
      </c>
      <c r="E1" s="19" t="inlineStr">
        <is>
          <t>Calendar label</t>
        </is>
      </c>
      <c r="F1" s="19" t="inlineStr">
        <is>
          <t>Lesson focus</t>
        </is>
      </c>
      <c r="G1" s="19" t="inlineStr">
        <is>
          <t>Learning target</t>
        </is>
      </c>
      <c r="H1" s="19" t="inlineStr">
        <is>
          <t>Standards</t>
        </is>
      </c>
      <c r="I1" s="19" t="inlineStr">
        <is>
          <t>Essential question</t>
        </is>
      </c>
      <c r="J1" s="19" t="inlineStr">
        <is>
          <t>Core resources</t>
        </is>
      </c>
      <c r="K1" s="19" t="inlineStr">
        <is>
          <t>Assessment notes</t>
        </is>
      </c>
      <c r="L1" s="19" t="inlineStr">
        <is>
          <t>Scheduling note</t>
        </is>
      </c>
    </row>
    <row r="2">
      <c r="A2" s="20" t="inlineStr">
        <is>
          <t>U1-W1L1</t>
        </is>
      </c>
      <c r="B2" s="20" t="n">
        <v>1</v>
      </c>
      <c r="C2" s="20" t="inlineStr">
        <is>
          <t>Unleashing Influence</t>
        </is>
      </c>
      <c r="D2" s="20" t="inlineStr">
        <is>
          <t>Week 1, Lesson 1</t>
        </is>
      </c>
      <c r="E2" s="20" t="inlineStr">
        <is>
          <t>U1 W1L1</t>
        </is>
      </c>
      <c r="F2" s="20" t="inlineStr">
        <is>
          <t>Understand what opportunities I have in high school.</t>
        </is>
      </c>
      <c r="G2" s="20" t="inlineStr">
        <is>
          <t>I will be able to understand what opportunities I have in high school. I will learn the criteria for participating in those opportunities.I will know I am successful when I have identified my goals for high school and the path needed to achieve them.</t>
        </is>
      </c>
      <c r="H2" s="20" t="inlineStr">
        <is>
          <t>9.W.1 9.C.1A.i</t>
        </is>
      </c>
      <c r="I2" s="20" t="inlineStr">
        <is>
          <t>How does the influence of media, education, and people shape our view of the world and ourselves?</t>
        </is>
      </c>
      <c r="J2" s="20" t="inlineStr">
        <is>
          <t>Slide Deck</t>
        </is>
      </c>
      <c r="K2" s="20" t="inlineStr">
        <is>
          <t>Consider the people, events, and media both inside and outside of school (ex: parent, grandparent, godparent, sibling, teacher, pastor, birth, death, graduation, birthday, anniversary, Instagram, TikTok, Snap Chat, Facebook, television, game, or other social media platforms). Explain how one of those elements, whether positively or negatively, has influenced the way you view yourself or the world. Use personal experiences, elaboration, and details to support your essay.</t>
        </is>
      </c>
      <c r="L2" s="20" t="inlineStr"/>
    </row>
    <row r="3">
      <c r="A3" s="20" t="inlineStr">
        <is>
          <t>U1-W1L2</t>
        </is>
      </c>
      <c r="B3" s="20" t="n">
        <v>1</v>
      </c>
      <c r="C3" s="20" t="inlineStr">
        <is>
          <t>Unleashing Influence</t>
        </is>
      </c>
      <c r="D3" s="20" t="inlineStr">
        <is>
          <t>Week 1, Lesson 2</t>
        </is>
      </c>
      <c r="E3" s="20" t="inlineStr">
        <is>
          <t>U1 W1L2</t>
        </is>
      </c>
      <c r="F3" s="20" t="inlineStr">
        <is>
          <t>Understand the skills and requirements at each grade level needed to pursue a successful high school career.</t>
        </is>
      </c>
      <c r="G3" s="20" t="inlineStr">
        <is>
          <t>I will be able to understand the skills and requirements at each grade level needed to pursue a successful high school career.</t>
        </is>
      </c>
      <c r="H3" s="20" t="inlineStr">
        <is>
          <t>9.DSR.A 9.DSR.B 9.RI.1.A 9.C.1A.i</t>
        </is>
      </c>
      <c r="I3" s="20" t="inlineStr">
        <is>
          <t>How does the influence of media, education, and people shape our view of the world and ourselves?</t>
        </is>
      </c>
      <c r="J3" s="20" t="inlineStr">
        <is>
          <t>Slide Deck</t>
        </is>
      </c>
      <c r="K3" s="20" t="inlineStr"/>
      <c r="L3" s="20" t="inlineStr"/>
    </row>
    <row r="4">
      <c r="A4" s="20" t="inlineStr">
        <is>
          <t>U1-W2L1</t>
        </is>
      </c>
      <c r="B4" s="20" t="n">
        <v>1</v>
      </c>
      <c r="C4" s="20" t="inlineStr">
        <is>
          <t>Unleashing Influence</t>
        </is>
      </c>
      <c r="D4" s="20" t="inlineStr">
        <is>
          <t>Week 2, Lesson 1</t>
        </is>
      </c>
      <c r="E4" s="20" t="inlineStr">
        <is>
          <t>U1 W2L1</t>
        </is>
      </c>
      <c r="F4" s="20" t="inlineStr">
        <is>
          <t>Gain an understanding of new vocabulary related to the text The Ravine and review characterization and theme.</t>
        </is>
      </c>
      <c r="G4" s="20" t="inlineStr">
        <is>
          <t>Today, I will gain an understanding of new vocabulary related to the text The Ravine and review characterization and theme. I will do this by completing the guided notes. I will know I can do this by using the words in a prediction graphic organizer completing appropriate portions of my story map.</t>
        </is>
      </c>
      <c r="H4" s="20" t="inlineStr">
        <is>
          <t>9.RV.1.G 9.RL.1.A</t>
        </is>
      </c>
      <c r="I4" s="20" t="inlineStr">
        <is>
          <t>How does the influence of media, education, and people shape our view of the world and ourselves?</t>
        </is>
      </c>
      <c r="J4" s="20" t="inlineStr">
        <is>
          <t>Slide Deck</t>
        </is>
      </c>
      <c r="K4" s="20" t="inlineStr"/>
      <c r="L4" s="20" t="inlineStr"/>
    </row>
    <row r="5">
      <c r="A5" s="20" t="inlineStr">
        <is>
          <t>U1-W2L2</t>
        </is>
      </c>
      <c r="B5" s="20" t="n">
        <v>1</v>
      </c>
      <c r="C5" s="20" t="inlineStr">
        <is>
          <t>Unleashing Influence</t>
        </is>
      </c>
      <c r="D5" s="20" t="inlineStr">
        <is>
          <t>Week 2, Lesson 2</t>
        </is>
      </c>
      <c r="E5" s="20" t="inlineStr">
        <is>
          <t>U1 W2L2</t>
        </is>
      </c>
      <c r="F5" s="20" t="inlineStr">
        <is>
          <t>Read and analyze the short story The Ravine.</t>
        </is>
      </c>
      <c r="G5" s="20" t="inlineStr">
        <is>
          <t>Today, I will read and analyze the short story The Ravine. I will do this to understand the development of characters and themes in a story.I will know I can do this when I can successfully answer multiple choice questions and a writing prompt about a fictional text.</t>
        </is>
      </c>
      <c r="H5" s="20" t="inlineStr">
        <is>
          <t>9.DSR C 9.RL.1 A</t>
        </is>
      </c>
      <c r="I5" s="20" t="inlineStr">
        <is>
          <t>How does the influence of media, education, and people shape our view of the world and ourselves?</t>
        </is>
      </c>
      <c r="J5" s="20" t="inlineStr">
        <is>
          <t>Slide Deck</t>
        </is>
      </c>
      <c r="K5" s="20" t="inlineStr"/>
      <c r="L5" s="20" t="inlineStr"/>
    </row>
    <row r="6">
      <c r="A6" s="20" t="inlineStr">
        <is>
          <t>U1-W2L3</t>
        </is>
      </c>
      <c r="B6" s="20" t="n">
        <v>1</v>
      </c>
      <c r="C6" s="20" t="inlineStr">
        <is>
          <t>Unleashing Influence</t>
        </is>
      </c>
      <c r="D6" s="20" t="inlineStr">
        <is>
          <t>Week 2, Lesson 3</t>
        </is>
      </c>
      <c r="E6" s="20" t="inlineStr">
        <is>
          <t>U1 W2L3</t>
        </is>
      </c>
      <c r="F6" s="20" t="inlineStr">
        <is>
          <t>Learn about rhetorical devices and how they are used in persuasive writing.I will know I’ve got it when I can distinguish between ethos, pathos, and logos, identify them in media, and use them in my own writing.</t>
        </is>
      </c>
      <c r="G6" s="20" t="inlineStr">
        <is>
          <t>Today, I will learn about rhetorical devices and how they are used in persuasive writing.I will know I’ve got it when I can distinguish between ethos, pathos, and logos, identify them in media, and use them in my own writing.</t>
        </is>
      </c>
      <c r="H6" s="20" t="inlineStr">
        <is>
          <t>9.RV.1A 9.RV.1G</t>
        </is>
      </c>
      <c r="I6" s="20" t="inlineStr">
        <is>
          <t>How does the influence of media, education, and people shape our view of the world and ourselves?</t>
        </is>
      </c>
      <c r="J6" s="20" t="inlineStr">
        <is>
          <t>Slide Deck</t>
        </is>
      </c>
      <c r="K6" s="20" t="inlineStr"/>
      <c r="L6" s="20" t="inlineStr"/>
    </row>
    <row r="7">
      <c r="A7" s="20" t="inlineStr">
        <is>
          <t>U1-W3L1</t>
        </is>
      </c>
      <c r="B7" s="20" t="n">
        <v>1</v>
      </c>
      <c r="C7" s="20" t="inlineStr">
        <is>
          <t>Unleashing Influence</t>
        </is>
      </c>
      <c r="D7" s="20" t="inlineStr">
        <is>
          <t>Week 3, Lesson 1</t>
        </is>
      </c>
      <c r="E7" s="20" t="inlineStr">
        <is>
          <t>U1 W3L1</t>
        </is>
      </c>
      <c r="F7" s="20" t="inlineStr">
        <is>
          <t>Compare perspectives and viewpoints of two or more authors to analyze the use of persuasion in various texts.</t>
        </is>
      </c>
      <c r="G7" s="20" t="inlineStr">
        <is>
          <t>Today I will compare perspectives and viewpoints of two or more authors to analyze the use of persuasion in various texts. I’ll know I have it when I can discuss thoughtfully with my classmates, answer questions, and complete a Venn Diagram about the two texts.</t>
        </is>
      </c>
      <c r="H7" s="20" t="inlineStr">
        <is>
          <t>9.RI.3.A</t>
        </is>
      </c>
      <c r="I7" s="20" t="inlineStr">
        <is>
          <t>How does the influence of media, education, and people shape our view of the world and ourselves?</t>
        </is>
      </c>
      <c r="J7" s="20" t="inlineStr">
        <is>
          <t>Slide Deck</t>
        </is>
      </c>
      <c r="K7" s="20" t="inlineStr"/>
      <c r="L7" s="20" t="inlineStr"/>
    </row>
    <row r="8">
      <c r="A8" s="20" t="inlineStr">
        <is>
          <t>U1-W3L2</t>
        </is>
      </c>
      <c r="B8" s="20" t="n">
        <v>1</v>
      </c>
      <c r="C8" s="20" t="inlineStr">
        <is>
          <t>Unleashing Influence</t>
        </is>
      </c>
      <c r="D8" s="20" t="inlineStr">
        <is>
          <t>Week 3, Lesson 2</t>
        </is>
      </c>
      <c r="E8" s="20" t="inlineStr">
        <is>
          <t>U1 W3L2</t>
        </is>
      </c>
      <c r="F8" s="20" t="inlineStr">
        <is>
          <t>Use my understanding of persuasive devices to identify ethos, pathos, logos and other persuasive techniques in Old Major’s speech from the novel Animal Farm.</t>
        </is>
      </c>
      <c r="G8" s="20" t="inlineStr">
        <is>
          <t>By the end of class today, I will be able to use my understanding of persuasive devices to identify ethos, pathos, logos and other persuasive techniques in Old Major’s speech from the novel Animal Farm. I’ll know I’ve got it when I can correctly identify at least one example of ethos, pathos, and logos in Old Major’s speech and in print ads.</t>
        </is>
      </c>
      <c r="H8" s="20" t="inlineStr">
        <is>
          <t>9.DSR.B 9.DSR.A 9.RI.2.B 9.RI.2.C</t>
        </is>
      </c>
      <c r="I8" s="20" t="inlineStr">
        <is>
          <t>How does the influence of media, education, and people shape our view of the world and ourselves?</t>
        </is>
      </c>
      <c r="J8" s="20" t="inlineStr">
        <is>
          <t>Slide Deck</t>
        </is>
      </c>
      <c r="K8" s="20" t="inlineStr"/>
      <c r="L8" s="20" t="inlineStr"/>
    </row>
    <row r="9">
      <c r="A9" s="20" t="inlineStr">
        <is>
          <t>U1-W4L1</t>
        </is>
      </c>
      <c r="B9" s="20" t="n">
        <v>1</v>
      </c>
      <c r="C9" s="20" t="inlineStr">
        <is>
          <t>Unleashing Influence</t>
        </is>
      </c>
      <c r="D9" s="20" t="inlineStr">
        <is>
          <t>Week 4, Lesson 1</t>
        </is>
      </c>
      <c r="E9" s="20" t="inlineStr">
        <is>
          <t>U1 W4L1</t>
        </is>
      </c>
      <c r="F9" s="20" t="inlineStr">
        <is>
          <t>Read excerpts from George Orwell's novel Animal Farm to analyze persuasive devices, poetic devices, and how a literary form’s structure contributes to meaning.</t>
        </is>
      </c>
      <c r="G9" s="20" t="inlineStr">
        <is>
          <t>Today I will read excerpts from George Orwell's novel Animal Farm to analyze persuasive devices, poetic devices, and how a literary form’s structure contributes to meaning. I’ll know I have it when I can identify and explain the impact of rhetorical and poetic devices , and form, in Squeaker’s Speech from Animal Farm.</t>
        </is>
      </c>
      <c r="H9" s="20" t="inlineStr">
        <is>
          <t>9.RI.2.B-C</t>
        </is>
      </c>
      <c r="I9" s="20" t="inlineStr">
        <is>
          <t>How does the influence of media, education, and people shape our view of the world and ourselves?</t>
        </is>
      </c>
      <c r="J9" s="20" t="inlineStr">
        <is>
          <t>Slide Deck</t>
        </is>
      </c>
      <c r="K9" s="20" t="inlineStr"/>
      <c r="L9" s="20" t="inlineStr"/>
    </row>
    <row r="10">
      <c r="A10" s="20" t="inlineStr">
        <is>
          <t>U1-W4L2</t>
        </is>
      </c>
      <c r="B10" s="20" t="n">
        <v>1</v>
      </c>
      <c r="C10" s="20" t="inlineStr">
        <is>
          <t>Unleashing Influence</t>
        </is>
      </c>
      <c r="D10" s="20" t="inlineStr">
        <is>
          <t>Week 4, Lesson 2</t>
        </is>
      </c>
      <c r="E10" s="20" t="inlineStr">
        <is>
          <t>U1 W4L2</t>
        </is>
      </c>
      <c r="F10" s="20" t="inlineStr">
        <is>
          <t>Learn key elements to evaluate clarity and accuracy in informational texts.</t>
        </is>
      </c>
      <c r="G10" s="20" t="inlineStr">
        <is>
          <t>Today, I will learn key elements to evaluate clarity and accuracy in informational texts. I’ll know I’ve got it when I am able to use my evaluation document and evaluate a text for clarity and accuracy.</t>
        </is>
      </c>
      <c r="H10" s="20" t="inlineStr">
        <is>
          <t>9.RI.3</t>
        </is>
      </c>
      <c r="I10" s="20" t="inlineStr">
        <is>
          <t>How does the influence of media, education, and people shape our view of the world and ourselves?</t>
        </is>
      </c>
      <c r="J10" s="20" t="inlineStr">
        <is>
          <t>Slide Deck</t>
        </is>
      </c>
      <c r="K10" s="20" t="inlineStr"/>
      <c r="L10" s="20" t="inlineStr"/>
    </row>
    <row r="11">
      <c r="A11" s="20" t="inlineStr">
        <is>
          <t>U1-W4L3</t>
        </is>
      </c>
      <c r="B11" s="20" t="n">
        <v>1</v>
      </c>
      <c r="C11" s="20" t="inlineStr">
        <is>
          <t>Unleashing Influence</t>
        </is>
      </c>
      <c r="D11" s="20" t="inlineStr">
        <is>
          <t>Week 4, Lesson 3</t>
        </is>
      </c>
      <c r="E11" s="20" t="inlineStr">
        <is>
          <t>U1 W4L3</t>
        </is>
      </c>
      <c r="F11" s="20" t="inlineStr">
        <is>
          <t>Use my knowledge of writing and grammar.</t>
        </is>
      </c>
      <c r="G11" s="20" t="inlineStr">
        <is>
          <t>Today, I will use my knowledge of writing and grammar. I’ll know I’ve got it when I am able to write a strong narrative essay, including a thesis, a central idea with evidence, and organized ideas.</t>
        </is>
      </c>
      <c r="H11" s="20" t="inlineStr">
        <is>
          <t>9.W.2.A.i-iii</t>
        </is>
      </c>
      <c r="I11" s="20" t="inlineStr">
        <is>
          <t>How does the influence of media, education, and people shape our view of the world and ourselves?</t>
        </is>
      </c>
      <c r="J11" s="20" t="inlineStr">
        <is>
          <t>Slide Deck</t>
        </is>
      </c>
      <c r="K11" s="20" t="inlineStr"/>
      <c r="L11" s="20" t="inlineStr"/>
    </row>
    <row r="12">
      <c r="A12" s="20" t="inlineStr">
        <is>
          <t>U1-W5L1</t>
        </is>
      </c>
      <c r="B12" s="20" t="n">
        <v>1</v>
      </c>
      <c r="C12" s="20" t="inlineStr">
        <is>
          <t>Unleashing Influence</t>
        </is>
      </c>
      <c r="D12" s="20" t="inlineStr">
        <is>
          <t>Week 5, Lesson 1</t>
        </is>
      </c>
      <c r="E12" s="20" t="inlineStr">
        <is>
          <t>U1 W5L1</t>
        </is>
      </c>
      <c r="F12" s="20" t="inlineStr">
        <is>
          <t>Examine the writing rubric in greater detail, along with the writer’s checklist, so that I can know how to get a good writing score.</t>
        </is>
      </c>
      <c r="G12" s="20" t="inlineStr">
        <is>
          <t>Today, I will examine the writing rubric in greater detail, along with the writer’s checklist, so that I can know how to get a good writing score. I’ll know I’ve got it when I can engage in a Writer’s Workshop where I use the rubric, writer’s checklist, and the PEE (Point, Example, Explanation) structure to revise my baseline, type it into No Red Ink , and improve my score.</t>
        </is>
      </c>
      <c r="H12" s="20" t="inlineStr">
        <is>
          <t>9.W.2.A 9.W.3.B</t>
        </is>
      </c>
      <c r="I12" s="20" t="inlineStr">
        <is>
          <t>How does the influence of media, education, and people shape our view of the world and ourselves?</t>
        </is>
      </c>
      <c r="J12" s="20" t="inlineStr">
        <is>
          <t>Slide Deck</t>
        </is>
      </c>
      <c r="K12" s="20" t="inlineStr"/>
      <c r="L12" s="20" t="inlineStr"/>
    </row>
    <row r="13">
      <c r="A13" s="20" t="inlineStr">
        <is>
          <t>U1-W5L2</t>
        </is>
      </c>
      <c r="B13" s="20" t="n">
        <v>1</v>
      </c>
      <c r="C13" s="20" t="inlineStr">
        <is>
          <t>Unleashing Influence</t>
        </is>
      </c>
      <c r="D13" s="20" t="inlineStr">
        <is>
          <t>Week 5, Lesson 2</t>
        </is>
      </c>
      <c r="E13" s="20" t="inlineStr">
        <is>
          <t>U1 W5L2</t>
        </is>
      </c>
      <c r="F13" s="20" t="inlineStr">
        <is>
          <t>Apply my learning of concepts, texts, and skills from Unit 1.</t>
        </is>
      </c>
      <c r="G13" s="20" t="inlineStr">
        <is>
          <t>Today, I will apply my learning of concepts, texts, and skills from Unit 1. I’ll know I’ve got it when I can select two items from the Choice Board to apply my learning from Unit 1.</t>
        </is>
      </c>
      <c r="H13" s="20" t="inlineStr">
        <is>
          <t>9.W.1</t>
        </is>
      </c>
      <c r="I13" s="20" t="inlineStr">
        <is>
          <t>How does the influence of media, education, and people shape our view of the world and ourselves?</t>
        </is>
      </c>
      <c r="J13" s="20" t="inlineStr">
        <is>
          <t>Slide Deck</t>
        </is>
      </c>
      <c r="K13" s="20" t="inlineStr"/>
      <c r="L13" s="20" t="inlineStr"/>
    </row>
    <row r="14">
      <c r="A14" s="20" t="inlineStr">
        <is>
          <t>U2-C1L1</t>
        </is>
      </c>
      <c r="B14" s="20" t="n">
        <v>2</v>
      </c>
      <c r="C14" s="20" t="inlineStr">
        <is>
          <t>Challenge Accepted!</t>
        </is>
      </c>
      <c r="D14" s="20" t="inlineStr">
        <is>
          <t>Cycle 1, Lesson 1</t>
        </is>
      </c>
      <c r="E14" s="20" t="inlineStr">
        <is>
          <t>U2 C1L1</t>
        </is>
      </c>
      <c r="F14" s="20" t="inlineStr">
        <is>
          <t>Participate in a gallery walk, read Ancient Greece: The Birthplace of Western individualism, and answer multiple choice questions.</t>
        </is>
      </c>
      <c r="G14" s="20" t="inlineStr">
        <is>
          <t>Today I will participate in a gallery walk, read Ancient Greece: The Birthplace of Western individualism, and answer multiple choice questions. By the end of class, I will show my understanding of the cultural function of mythological figures by using details from the text to correctly answer short response and multiple choice questions.</t>
        </is>
      </c>
      <c r="H14" s="20" t="inlineStr">
        <is>
          <t>9.RL.3A 9.C.1.A.i, iii, iv, v 9.W.1.C</t>
        </is>
      </c>
      <c r="I14" s="20" t="inlineStr">
        <is>
          <t>How do the challenges of life affect a person?</t>
        </is>
      </c>
      <c r="J14" s="20" t="inlineStr">
        <is>
          <t>Slide Deck</t>
        </is>
      </c>
      <c r="K14" s="20" t="inlineStr">
        <is>
          <t>Compare and contrast two characters from one or more anchor texts. How are these characters alike/different in how they face/respond to/overcome challenges? Develop your ideas using specific reasons and examples from the texts you’ve studied.</t>
        </is>
      </c>
      <c r="L14" s="20" t="inlineStr"/>
    </row>
    <row r="15">
      <c r="A15" s="20" t="inlineStr">
        <is>
          <t>U2-C1L2</t>
        </is>
      </c>
      <c r="B15" s="20" t="n">
        <v>2</v>
      </c>
      <c r="C15" s="20" t="inlineStr">
        <is>
          <t>Challenge Accepted!</t>
        </is>
      </c>
      <c r="D15" s="20" t="inlineStr">
        <is>
          <t>Cycle 1, Lesson 2</t>
        </is>
      </c>
      <c r="E15" s="20" t="inlineStr">
        <is>
          <t>U2 C1L2</t>
        </is>
      </c>
      <c r="F15" s="20" t="inlineStr">
        <is>
          <t>Learn about The Odyssey while taking guided notes, try to survive The Odyssey as a king or crew member, and complete a reading and writing assignment.</t>
        </is>
      </c>
      <c r="G15" s="20" t="inlineStr">
        <is>
          <t>Today I will learn about The Odyssey while taking guided notes, try to survive The Odyssey as a king or crew member, and complete a reading and writing assignment. By the end of class, I will show my understanding of how ancient Greek culture shaped Odysseus’s storytelling by analyzing Odysseus’ introduction using information I will learn in this powerpoint and writing my own introduction in the style of The Odyssey.</t>
        </is>
      </c>
      <c r="H15" s="20" t="inlineStr">
        <is>
          <t>9.RL.3.A 9.W.1.C</t>
        </is>
      </c>
      <c r="I15" s="20" t="inlineStr">
        <is>
          <t>How do the challenges of life affect a person?</t>
        </is>
      </c>
      <c r="J15" s="20" t="inlineStr">
        <is>
          <t>Slide Deck</t>
        </is>
      </c>
      <c r="K15" s="20" t="inlineStr"/>
      <c r="L15" s="20" t="inlineStr"/>
    </row>
    <row r="16">
      <c r="A16" s="20" t="inlineStr">
        <is>
          <t>U2-C1L3</t>
        </is>
      </c>
      <c r="B16" s="20" t="n">
        <v>2</v>
      </c>
      <c r="C16" s="20" t="inlineStr">
        <is>
          <t>Challenge Accepted!</t>
        </is>
      </c>
      <c r="D16" s="20" t="inlineStr">
        <is>
          <t>Cycle 1, Lesson 3</t>
        </is>
      </c>
      <c r="E16" s="20" t="inlineStr">
        <is>
          <t>U2 C1L3</t>
        </is>
      </c>
      <c r="F16" s="20" t="inlineStr">
        <is>
          <t>Read the Lotus Eaters Episode of The Odyssey.</t>
        </is>
      </c>
      <c r="G16" s="20" t="inlineStr">
        <is>
          <t>Today I will read the Lotus Eaters Episode of The Odyssey. As I am reading I will annotate for character traits, plot, and unknown words. By the end of class, I will show my understanding of how character traits and setting drive the development of the plot in the text though using specific details in my annotations and Facing Challenges Character Tracker.</t>
        </is>
      </c>
      <c r="H16" s="20" t="inlineStr">
        <is>
          <t>9.RL.1.A 9.W.1.C</t>
        </is>
      </c>
      <c r="I16" s="20" t="inlineStr">
        <is>
          <t>How do the challenges of life affect a person?</t>
        </is>
      </c>
      <c r="J16" s="20" t="inlineStr">
        <is>
          <t>Slide Deck</t>
        </is>
      </c>
      <c r="K16" s="20" t="inlineStr"/>
      <c r="L16" s="20" t="inlineStr"/>
    </row>
    <row r="17">
      <c r="A17" s="20" t="inlineStr">
        <is>
          <t>U2-C1L4</t>
        </is>
      </c>
      <c r="B17" s="20" t="n">
        <v>2</v>
      </c>
      <c r="C17" s="20" t="inlineStr">
        <is>
          <t>Challenge Accepted!</t>
        </is>
      </c>
      <c r="D17" s="20" t="inlineStr">
        <is>
          <t>Cycle 1, Lesson 4</t>
        </is>
      </c>
      <c r="E17" s="20" t="inlineStr">
        <is>
          <t>U2 C1L4</t>
        </is>
      </c>
      <c r="F17" s="20" t="inlineStr">
        <is>
          <t>Read and discuss the Cyclops episode of the Odyssey.</t>
        </is>
      </c>
      <c r="G17" s="20" t="inlineStr">
        <is>
          <t>Today I will read and discuss the Cyclops episode of the Odyssey. I will fill out a question chart while I read. I’ll know I have it when I can demonstrate my comprehension by reading the text, answering the questions and participating in discussions.</t>
        </is>
      </c>
      <c r="H17" s="20" t="inlineStr">
        <is>
          <t>9.DSR 9.RV.1.B 9.RL.1.A 9.RL.2.B 9.W.1.C</t>
        </is>
      </c>
      <c r="I17" s="20" t="inlineStr">
        <is>
          <t>How do the challenges of life affect a person?</t>
        </is>
      </c>
      <c r="J17" s="20" t="inlineStr">
        <is>
          <t>Slide Deck</t>
        </is>
      </c>
      <c r="K17" s="20" t="inlineStr"/>
      <c r="L17" s="20" t="inlineStr"/>
    </row>
    <row r="18">
      <c r="A18" s="20" t="inlineStr">
        <is>
          <t>U2-C1L5</t>
        </is>
      </c>
      <c r="B18" s="20" t="n">
        <v>2</v>
      </c>
      <c r="C18" s="20" t="inlineStr">
        <is>
          <t>Challenge Accepted!</t>
        </is>
      </c>
      <c r="D18" s="20" t="inlineStr">
        <is>
          <t>Cycle 1, Lesson 5</t>
        </is>
      </c>
      <c r="E18" s="20" t="inlineStr">
        <is>
          <t>U2 C1L5</t>
        </is>
      </c>
      <c r="F18" s="20" t="inlineStr">
        <is>
          <t>Read and discuss the Sirens, Scylla and Charybdis episode of the Odyssey.</t>
        </is>
      </c>
      <c r="G18" s="20" t="inlineStr">
        <is>
          <t>Today I will read and discuss the Sirens, Scylla and Charybdis episode of the Odyssey. I will also participate in a Silent Conversation with my classmates. I’ll know I have it when I can demonstrate my comprehension by reading the text, answering the questions, participating in discussions and completing my exit ticket.</t>
        </is>
      </c>
      <c r="H18" s="20" t="inlineStr">
        <is>
          <t>9.DSR, 9.RV.1.B, 9.RL.1.A 9.RL.2.B</t>
        </is>
      </c>
      <c r="I18" s="20" t="inlineStr">
        <is>
          <t>How do the challenges of life affect a person?</t>
        </is>
      </c>
      <c r="J18" s="20" t="inlineStr">
        <is>
          <t>Slide Deck</t>
        </is>
      </c>
      <c r="K18" s="20" t="inlineStr"/>
      <c r="L18" s="20" t="inlineStr"/>
    </row>
    <row r="19">
      <c r="A19" s="20" t="inlineStr">
        <is>
          <t>U2-C2L1</t>
        </is>
      </c>
      <c r="B19" s="20" t="n">
        <v>2</v>
      </c>
      <c r="C19" s="20" t="inlineStr">
        <is>
          <t>Challenge Accepted!</t>
        </is>
      </c>
      <c r="D19" s="20" t="inlineStr">
        <is>
          <t>Cycle 2, Lesson 1</t>
        </is>
      </c>
      <c r="E19" s="20" t="inlineStr">
        <is>
          <t>U2 C2L1</t>
        </is>
      </c>
      <c r="F19" s="20" t="inlineStr">
        <is>
          <t>Read The Odyssey to explain the relationships between setting, characters, and plot and their impact on theme.</t>
        </is>
      </c>
      <c r="G19" s="20" t="inlineStr">
        <is>
          <t>Today I will read The Odyssey to explain the relationships between setting, characters, and plot and their impact on theme. I will know I can do this when I answer my guiding questions for my reading and engage in discussion about this episode of The Odyssey with my classmates and connect setting, characters, and plot to a theme from the text.</t>
        </is>
      </c>
      <c r="H19" s="20" t="inlineStr">
        <is>
          <t>9.RV.1 9.W.1.C</t>
        </is>
      </c>
      <c r="I19" s="20" t="inlineStr">
        <is>
          <t>How do the challenges of life affect a person?</t>
        </is>
      </c>
      <c r="J19" s="20" t="inlineStr">
        <is>
          <t>Slide Deck</t>
        </is>
      </c>
      <c r="K19" s="20" t="inlineStr"/>
      <c r="L19" s="20" t="inlineStr"/>
    </row>
    <row r="20">
      <c r="A20" s="20" t="inlineStr">
        <is>
          <t>U2-C2L2</t>
        </is>
      </c>
      <c r="B20" s="20" t="n">
        <v>2</v>
      </c>
      <c r="C20" s="20" t="inlineStr">
        <is>
          <t>Challenge Accepted!</t>
        </is>
      </c>
      <c r="D20" s="20" t="inlineStr">
        <is>
          <t>Cycle 2, Lesson 2</t>
        </is>
      </c>
      <c r="E20" s="20" t="inlineStr">
        <is>
          <t>U2 C2L2</t>
        </is>
      </c>
      <c r="F20" s="20" t="inlineStr">
        <is>
          <t>Read The Odyssey for word choice and tone and how that shapes a text.</t>
        </is>
      </c>
      <c r="G20" s="20" t="inlineStr">
        <is>
          <t>Today I will read The Odyssey for word choice and tone and how that shapes a text. I will know I can do this when I answer my guiding questions for my reading, complete my Character Tracker, and identify how word choice and tone shapes today’s reading.</t>
        </is>
      </c>
      <c r="H20" s="20" t="inlineStr">
        <is>
          <t>9.RV.1 9.RL.2.B 9.W.1.C</t>
        </is>
      </c>
      <c r="I20" s="20" t="inlineStr">
        <is>
          <t>How do the challenges of life affect a person?</t>
        </is>
      </c>
      <c r="J20" s="20" t="inlineStr">
        <is>
          <t>Slide Deck</t>
        </is>
      </c>
      <c r="K20" s="20" t="inlineStr"/>
      <c r="L20" s="20" t="inlineStr"/>
    </row>
    <row r="21">
      <c r="A21" s="20" t="inlineStr">
        <is>
          <t>U2-C2L3</t>
        </is>
      </c>
      <c r="B21" s="20" t="n">
        <v>2</v>
      </c>
      <c r="C21" s="20" t="inlineStr">
        <is>
          <t>Challenge Accepted!</t>
        </is>
      </c>
      <c r="D21" s="20" t="inlineStr">
        <is>
          <t>Cycle 2, Lesson 3</t>
        </is>
      </c>
      <c r="E21" s="20" t="inlineStr">
        <is>
          <t>U2 C2L3</t>
        </is>
      </c>
      <c r="F21" s="20" t="inlineStr">
        <is>
          <t>Complete my Common Assessment Tracker and review the tenants of the comparison contrast essay in preparation for writing my Unit 2 Common Assessment.</t>
        </is>
      </c>
      <c r="G21" s="20" t="inlineStr">
        <is>
          <t>Today, I will complete my Common Assessment Tracker and review the tenants of the comparison contrast essay in preparation for writing my Unit 2 Common Assessment. I will know I’ve got it when I can use my writing organizer, Common Assessment Tracker, and my notes on writing to develop the thesis statement and introductory paragraph for my common assessment.</t>
        </is>
      </c>
      <c r="H21" s="20" t="inlineStr">
        <is>
          <t>9.RL.1A</t>
        </is>
      </c>
      <c r="I21" s="20" t="inlineStr">
        <is>
          <t>How do the challenges of life affect a person?</t>
        </is>
      </c>
      <c r="J21" s="20" t="inlineStr">
        <is>
          <t>Slide Deck</t>
        </is>
      </c>
      <c r="K21" s="20" t="inlineStr"/>
      <c r="L21" s="20" t="inlineStr"/>
    </row>
    <row r="22">
      <c r="A22" s="20" t="inlineStr">
        <is>
          <t>U2-C2L4</t>
        </is>
      </c>
      <c r="B22" s="20" t="n">
        <v>2</v>
      </c>
      <c r="C22" s="20" t="inlineStr">
        <is>
          <t>Challenge Accepted!</t>
        </is>
      </c>
      <c r="D22" s="20" t="inlineStr">
        <is>
          <t>Cycle 2, Lesson 4</t>
        </is>
      </c>
      <c r="E22" s="20" t="inlineStr">
        <is>
          <t>U2 C2L4</t>
        </is>
      </c>
      <c r="F22" s="20" t="inlineStr">
        <is>
          <t>Complete my Common Assessment Tracker and review the tenants of the comparison contrast essay in preparation for writing my Unit 2 Common Assessment.</t>
        </is>
      </c>
      <c r="G22" s="20" t="inlineStr">
        <is>
          <t>Today, I will complete my Common Assessment Tracker and review the tenants of the comparison contrast essay in preparation for writing my Unit 2 Common Assessment. I will know I’ve got it when I can use my writing organizer, Common Assessment Tracker, and my notes on writing to develop the thesis statement and introductory paragraph for my common assessment.</t>
        </is>
      </c>
      <c r="H22" s="20" t="inlineStr">
        <is>
          <t>9.RL.1.A, 9.W.1.A.i-iv, 9.W.2.A.i-iv</t>
        </is>
      </c>
      <c r="I22" s="20" t="inlineStr">
        <is>
          <t>How do the challenges of life affect a person?</t>
        </is>
      </c>
      <c r="J22" s="20" t="inlineStr">
        <is>
          <t>Slide Deck</t>
        </is>
      </c>
      <c r="K22" s="20" t="inlineStr"/>
      <c r="L22" s="20" t="inlineStr"/>
    </row>
    <row r="23">
      <c r="A23" s="20" t="inlineStr">
        <is>
          <t>U2-C2L5</t>
        </is>
      </c>
      <c r="B23" s="20" t="n">
        <v>2</v>
      </c>
      <c r="C23" s="20" t="inlineStr">
        <is>
          <t>Challenge Accepted!</t>
        </is>
      </c>
      <c r="D23" s="20" t="inlineStr">
        <is>
          <t>Cycle 2, Lesson 5</t>
        </is>
      </c>
      <c r="E23" s="20" t="inlineStr">
        <is>
          <t>U2 C2L5</t>
        </is>
      </c>
      <c r="F23" s="20" t="inlineStr">
        <is>
          <t>Read and analyze a commencement speech by Steve Jobs.</t>
        </is>
      </c>
      <c r="G23" s="20" t="inlineStr">
        <is>
          <t>Today, I will read and analyze a commencement speech by Steve Jobs. I will do this to analyze the development of the main idea. I will also finalize my common assessment rough draft. I will know I have it when I can summarize key details from the speech that support its main idea and complete a rough draft of my common assessment.</t>
        </is>
      </c>
      <c r="H23" s="20" t="inlineStr">
        <is>
          <t>9.RV.1A, 9.RI.1A, 9.C.4.A-B, 9.W.1.a.i-iv</t>
        </is>
      </c>
      <c r="I23" s="20" t="inlineStr">
        <is>
          <t>How do the challenges of life affect a person?</t>
        </is>
      </c>
      <c r="J23" s="20" t="inlineStr">
        <is>
          <t>Slide Deck</t>
        </is>
      </c>
      <c r="K23" s="20" t="inlineStr"/>
      <c r="L23" s="20" t="inlineStr"/>
    </row>
    <row r="24">
      <c r="A24" s="20" t="inlineStr">
        <is>
          <t>U2-C3L1</t>
        </is>
      </c>
      <c r="B24" s="20" t="n">
        <v>2</v>
      </c>
      <c r="C24" s="20" t="inlineStr">
        <is>
          <t>Challenge Accepted!</t>
        </is>
      </c>
      <c r="D24" s="20" t="inlineStr">
        <is>
          <t>Cycle 3, Lesson 1</t>
        </is>
      </c>
      <c r="E24" s="20" t="inlineStr">
        <is>
          <t>U2 C3L1</t>
        </is>
      </c>
      <c r="F24" s="20" t="inlineStr">
        <is>
          <t>Use my rough draft and my notes to type a final draft of my common assessment into No Red Ink.</t>
        </is>
      </c>
      <c r="G24" s="20" t="inlineStr">
        <is>
          <t>Today, I will use my rough draft and my notes to type a final draft of my common assessment into No Red Ink. I’ll know I’ve got it when I successfully type my common assessment into No Red Ink, review my work for grammar and punctuation, and ensure that I’ve completed my best writing.</t>
        </is>
      </c>
      <c r="H24" s="20" t="inlineStr">
        <is>
          <t>9.W.1.a.i-iv</t>
        </is>
      </c>
      <c r="I24" s="20" t="inlineStr">
        <is>
          <t>How do the challenges of life affect a person?</t>
        </is>
      </c>
      <c r="J24" s="20" t="inlineStr">
        <is>
          <t>Slide Deck</t>
        </is>
      </c>
      <c r="K24" s="20" t="inlineStr"/>
      <c r="L24" s="20" t="inlineStr"/>
    </row>
    <row r="25">
      <c r="A25" s="20" t="inlineStr">
        <is>
          <t>U3-C1L1</t>
        </is>
      </c>
      <c r="B25" s="20" t="n">
        <v>3</v>
      </c>
      <c r="C25" s="20" t="inlineStr">
        <is>
          <t>The Drive to Deceive</t>
        </is>
      </c>
      <c r="D25" s="20" t="inlineStr">
        <is>
          <t>Cycle 1, Lesson 1</t>
        </is>
      </c>
      <c r="E25" s="20" t="inlineStr">
        <is>
          <t>U3 C1L1</t>
        </is>
      </c>
      <c r="F25" s="20" t="inlineStr">
        <is>
          <t>Learn about the culture and author of Romeo and Juliet, complete an anticipation guide, and read and annotate the prologue to Romeo and Juliet.</t>
        </is>
      </c>
      <c r="G25" s="20" t="inlineStr">
        <is>
          <t>Today I will learn about the culture and author of Romeo and Juliet, complete an anticipation guide, and read and annotate the prologue to Romeo and Juliet. I will track the characteristics of drama in a notes catcher. By the end of class, I will show my ability to identify literary devices in the Prologue of Romeo and Juliet by annotating</t>
        </is>
      </c>
      <c r="H25" s="20" t="inlineStr">
        <is>
          <t>9.RL.1.C 9.RL.2.B 9.RL.2.C 9.RL.2.D</t>
        </is>
      </c>
      <c r="I25" s="20" t="inlineStr">
        <is>
          <t>What drives people to deceive others?</t>
        </is>
      </c>
      <c r="J25" s="20" t="inlineStr">
        <is>
          <t>Slide Deck</t>
        </is>
      </c>
      <c r="K25" s="20" t="inlineStr">
        <is>
          <t>Common Assessment: Many works of literature contain a character who intentionally deceives others. The character’s dishonesty may be intended to help in some cases.But there are times when the character’s dishonesty is used for the purpose of hurting another person. Choose a text from this unit in which a character deceives another character. In a well-written essay, analyze the motives for that character’s deception, and discuss how the deception contributes to the meaning of the text as a whole. Use specific reasons and detailed examples in your essay.</t>
        </is>
      </c>
      <c r="L25" s="20" t="inlineStr"/>
    </row>
    <row r="26">
      <c r="A26" s="20" t="inlineStr">
        <is>
          <t>U3-C1L2</t>
        </is>
      </c>
      <c r="B26" s="20" t="n">
        <v>3</v>
      </c>
      <c r="C26" s="20" t="inlineStr">
        <is>
          <t>The Drive to Deceive</t>
        </is>
      </c>
      <c r="D26" s="20" t="inlineStr">
        <is>
          <t>Cycle 1, Lesson 2</t>
        </is>
      </c>
      <c r="E26" s="20" t="inlineStr">
        <is>
          <t>U3 C1L2</t>
        </is>
      </c>
      <c r="F26" s="20" t="inlineStr">
        <is>
          <t>Read and annotate Act I, Scenes 1 and 2 of Romeo and Juliet..</t>
        </is>
      </c>
      <c r="G26" s="20" t="inlineStr">
        <is>
          <t>Today I will read and annotate Act I, Scenes 1 and 2 of Romeo and Juliet.. As I am reading, I will annotate the text for literary devices, main ideas, and theme. By the end of class, I will show my understanding of foreshadowing, theme, plot, and additional literary devices through my Act 1, Scene 1 and 2 annotations, study guide questions, and multiple choice questions.</t>
        </is>
      </c>
      <c r="H26" s="20" t="inlineStr">
        <is>
          <t>9.RL.1.C 9.RL.2.B 9.RL.2.C 9.RL.2.D</t>
        </is>
      </c>
      <c r="I26" s="20" t="inlineStr">
        <is>
          <t>What drives people to deceive others?</t>
        </is>
      </c>
      <c r="J26" s="20" t="inlineStr">
        <is>
          <t>Slide Deck</t>
        </is>
      </c>
      <c r="K26" s="20" t="inlineStr"/>
      <c r="L26" s="20" t="inlineStr"/>
    </row>
    <row r="27">
      <c r="A27" s="20" t="inlineStr">
        <is>
          <t>U3-C1L3</t>
        </is>
      </c>
      <c r="B27" s="20" t="n">
        <v>3</v>
      </c>
      <c r="C27" s="20" t="inlineStr">
        <is>
          <t>The Drive to Deceive</t>
        </is>
      </c>
      <c r="D27" s="20" t="inlineStr">
        <is>
          <t>Cycle 1, Lesson 3</t>
        </is>
      </c>
      <c r="E27" s="20" t="inlineStr">
        <is>
          <t>U3 C1L3</t>
        </is>
      </c>
      <c r="F27" s="20" t="inlineStr">
        <is>
          <t>Read Act 1, Scene 5 of Romeo and Juliet and learn about the different types of irony.</t>
        </is>
      </c>
      <c r="G27" s="20" t="inlineStr">
        <is>
          <t>Today, I will read Act 1, Scene 5 of Romeo and Juliet and learn about the different types of irony. As I am reading, I will keep track of character actions and literary elements using the Act 1 Scene 5 worksheet. By the end of class, I will be able to show my understanding by summarizing important events through incorporating relevant facts and details into my written response in the Act 1, Scene 5 worksheet.</t>
        </is>
      </c>
      <c r="H27" s="20" t="inlineStr">
        <is>
          <t>9.DSR.A 9.DSR.E 9.W.1 9.RL.2</t>
        </is>
      </c>
      <c r="I27" s="20" t="inlineStr">
        <is>
          <t>What drives people to deceive others?</t>
        </is>
      </c>
      <c r="J27" s="20" t="inlineStr">
        <is>
          <t>Slide Deck</t>
        </is>
      </c>
      <c r="K27" s="20" t="inlineStr"/>
      <c r="L27" s="20" t="inlineStr"/>
    </row>
    <row r="28">
      <c r="A28" s="20" t="inlineStr">
        <is>
          <t>U3-C1L4</t>
        </is>
      </c>
      <c r="B28" s="20" t="n">
        <v>3</v>
      </c>
      <c r="C28" s="20" t="inlineStr">
        <is>
          <t>The Drive to Deceive</t>
        </is>
      </c>
      <c r="D28" s="20" t="inlineStr">
        <is>
          <t>Cycle 1, Lesson 4</t>
        </is>
      </c>
      <c r="E28" s="20" t="inlineStr">
        <is>
          <t>U3 C1L4</t>
        </is>
      </c>
      <c r="F28" s="20" t="inlineStr">
        <is>
          <t>Read The Act 2 Prologue and Act 2 Scene 2 of Romeo and Juliet.</t>
        </is>
      </c>
      <c r="G28" s="20" t="inlineStr">
        <is>
          <t>Today, I will read The Act 2 Prologue and Act 2 Scene 2 of Romeo and Juliet. As I am reading I will annotate the text for literary devices, main ideas, and theme. By the end of class, I will show my understanding by incorporating a thesis statement and adding specific details from the text while effectively incorporating persuasive techniques into the Romeo and Juliet RAFT writing.</t>
        </is>
      </c>
      <c r="H28" s="20" t="inlineStr">
        <is>
          <t>9.W.1.C 9.W.1 9.RL.1.D</t>
        </is>
      </c>
      <c r="I28" s="20" t="inlineStr">
        <is>
          <t>What drives people to deceive others?</t>
        </is>
      </c>
      <c r="J28" s="20" t="inlineStr">
        <is>
          <t>Slide Deck</t>
        </is>
      </c>
      <c r="K28" s="20" t="inlineStr"/>
      <c r="L28" s="20" t="inlineStr"/>
    </row>
    <row r="29">
      <c r="A29" s="20" t="inlineStr">
        <is>
          <t>U3-C1L5</t>
        </is>
      </c>
      <c r="B29" s="20" t="n">
        <v>3</v>
      </c>
      <c r="C29" s="20" t="inlineStr">
        <is>
          <t>The Drive to Deceive</t>
        </is>
      </c>
      <c r="D29" s="20" t="inlineStr">
        <is>
          <t>Cycle 1, Lesson 5</t>
        </is>
      </c>
      <c r="E29" s="20" t="inlineStr">
        <is>
          <t>U3 C1L5</t>
        </is>
      </c>
      <c r="F29" s="20" t="inlineStr">
        <is>
          <t>Read Acts 2, Scene 3 and Act 2, Scene 4 of Romeo and Juliet.</t>
        </is>
      </c>
      <c r="G29" s="20" t="inlineStr">
        <is>
          <t>Today, I will read Acts 2, Scene 3 and Act 2, Scene 4 of Romeo and Juliet. As I’m reading, I will keep track of character types and plot progression with my worksheet and notes catcher. By the end of class, I will show my understanding by identifying how dynamic and flat characters in Romeo and Juliet interactions shape the plot in the Act 2, Scene 3 and Act 2, Scene 4.</t>
        </is>
      </c>
      <c r="H29" s="20" t="inlineStr">
        <is>
          <t>9.RL.1C 9.RL.3B</t>
        </is>
      </c>
      <c r="I29" s="20" t="inlineStr">
        <is>
          <t>What drives people to deceive others?</t>
        </is>
      </c>
      <c r="J29" s="20" t="inlineStr">
        <is>
          <t>Slide Deck</t>
        </is>
      </c>
      <c r="K29" s="20" t="inlineStr"/>
      <c r="L29" s="20" t="inlineStr"/>
    </row>
    <row r="30">
      <c r="A30" s="20" t="inlineStr">
        <is>
          <t>U3-C2L1</t>
        </is>
      </c>
      <c r="B30" s="20" t="n">
        <v>3</v>
      </c>
      <c r="C30" s="20" t="inlineStr">
        <is>
          <t>The Drive to Deceive</t>
        </is>
      </c>
      <c r="D30" s="20" t="inlineStr">
        <is>
          <t>Cycle 2, Lesson 1</t>
        </is>
      </c>
      <c r="E30" s="20" t="inlineStr">
        <is>
          <t>U3 C2L1</t>
        </is>
      </c>
      <c r="F30" s="20" t="inlineStr">
        <is>
          <t>Read Act 2 Scene 6 and Act 3 Scene 1 of Romeo and Juliet.</t>
        </is>
      </c>
      <c r="G30" s="20" t="inlineStr">
        <is>
          <t>Today I will read Act 2 Scene 6 and Act 3 Scene 1 of Romeo and Juliet. As I am reading, I will annotate the text for literary devices, main ideas, and theme. By the end of class, I will show my understanding by summarizing important events in the Verona Times Newspaper Article by including specific details and quotes from the text, as well as using a variety of sentence structures to help make my writing clear and engaging for the audience.</t>
        </is>
      </c>
      <c r="H30" s="20" t="inlineStr">
        <is>
          <t>9.W.1.C 9.LU.1.B 9.W.1.A 9.W.WC</t>
        </is>
      </c>
      <c r="I30" s="20" t="inlineStr">
        <is>
          <t>What drives people to deceive others?</t>
        </is>
      </c>
      <c r="J30" s="20" t="inlineStr">
        <is>
          <t>Slide Deck</t>
        </is>
      </c>
      <c r="K30" s="20" t="inlineStr"/>
      <c r="L30" s="20" t="inlineStr"/>
    </row>
    <row r="31">
      <c r="A31" s="20" t="inlineStr">
        <is>
          <t>U3-C2L2</t>
        </is>
      </c>
      <c r="B31" s="20" t="n">
        <v>3</v>
      </c>
      <c r="C31" s="20" t="inlineStr">
        <is>
          <t>The Drive to Deceive</t>
        </is>
      </c>
      <c r="D31" s="20" t="inlineStr">
        <is>
          <t>Cycle 2, Lesson 2</t>
        </is>
      </c>
      <c r="E31" s="20" t="inlineStr">
        <is>
          <t>U3 C2L2</t>
        </is>
      </c>
      <c r="F31" s="20" t="inlineStr">
        <is>
          <t>Read select scenes from Act 4 of Romeo and Juliet.</t>
        </is>
      </c>
      <c r="G31" s="20" t="inlineStr">
        <is>
          <t>Today I will read select scenes from Act 4 of Romeo and Juliet. As I am reading, I will keep track of important details using the Act 4 Scene 1 &amp; 2 worksheet and my Deception Tracker. I will also brainstorm ideas using a mindmap. By the end of class, I will show my understanding of planning and organizing my writing by completing my deception tracker and my mind maps.</t>
        </is>
      </c>
      <c r="H31" s="20" t="inlineStr">
        <is>
          <t>9.W.2A</t>
        </is>
      </c>
      <c r="I31" s="20" t="inlineStr">
        <is>
          <t>What drives people to deceive others?</t>
        </is>
      </c>
      <c r="J31" s="20" t="inlineStr">
        <is>
          <t>Slide Deck</t>
        </is>
      </c>
      <c r="K31" s="20" t="inlineStr"/>
      <c r="L31" s="20" t="inlineStr"/>
    </row>
    <row r="32">
      <c r="A32" s="20" t="inlineStr">
        <is>
          <t>U3-C2L3</t>
        </is>
      </c>
      <c r="B32" s="20" t="n">
        <v>3</v>
      </c>
      <c r="C32" s="20" t="inlineStr">
        <is>
          <t>The Drive to Deceive</t>
        </is>
      </c>
      <c r="D32" s="20" t="inlineStr">
        <is>
          <t>Cycle 2, Lesson 3</t>
        </is>
      </c>
      <c r="E32" s="20" t="inlineStr">
        <is>
          <t>U3 C2L3</t>
        </is>
      </c>
      <c r="F32" s="20" t="inlineStr">
        <is>
          <t>Read Act 5 Scene 3 of Romeo and Juliet.</t>
        </is>
      </c>
      <c r="G32" s="20" t="inlineStr">
        <is>
          <t>Today I will read Act 5 Scene 3 of Romeo and Juliet. As I am reading, I will annotate the text for literary devices, main ideas, and theme. By the end of class today, I will show my understanding of planning and organizing my writing by developing a thesis and incorporating relevant facts, concrete details, and quotations into my draft on Unit 3’s common assessment essay prompt.</t>
        </is>
      </c>
      <c r="H32" s="20" t="inlineStr">
        <is>
          <t>9.W.1.Aiv 9.W.2Ai 9.W.2.Aii</t>
        </is>
      </c>
      <c r="I32" s="20" t="inlineStr">
        <is>
          <t>What drives people to deceive others?</t>
        </is>
      </c>
      <c r="J32" s="20" t="inlineStr">
        <is>
          <t>Slide Deck</t>
        </is>
      </c>
      <c r="K32" s="20" t="inlineStr"/>
      <c r="L32" s="20" t="inlineStr"/>
    </row>
    <row r="33">
      <c r="A33" s="20" t="inlineStr">
        <is>
          <t>U3-C2L4</t>
        </is>
      </c>
      <c r="B33" s="20" t="n">
        <v>3</v>
      </c>
      <c r="C33" s="20" t="inlineStr">
        <is>
          <t>The Drive to Deceive</t>
        </is>
      </c>
      <c r="D33" s="20" t="inlineStr">
        <is>
          <t>Cycle 2, Lesson 4</t>
        </is>
      </c>
      <c r="E33" s="20" t="inlineStr">
        <is>
          <t>U3 C2L4</t>
        </is>
      </c>
      <c r="F33" s="20" t="inlineStr">
        <is>
          <t>Read The Necklace by Guy de Maupassant.</t>
        </is>
      </c>
      <c r="G33" s="20" t="inlineStr">
        <is>
          <t>Today, I will read The Necklace by Guy de Maupassant. As I am reading, I will keep track of plot progression with my worksheet. By the end of class today, I will be able to analyze how themes of deception and truth are developed throughout The Necklace by providing specific textual evidence in The Necklace Worksheet and applying my analysis in the multiple choice questions.</t>
        </is>
      </c>
      <c r="H33" s="20" t="inlineStr">
        <is>
          <t>9.RL.1A 9.RL.3B</t>
        </is>
      </c>
      <c r="I33" s="20" t="inlineStr">
        <is>
          <t>What drives people to deceive others?</t>
        </is>
      </c>
      <c r="J33" s="20" t="inlineStr">
        <is>
          <t>Slide Deck</t>
        </is>
      </c>
      <c r="K33" s="20" t="inlineStr"/>
      <c r="L33" s="20" t="inlineStr"/>
    </row>
    <row r="34">
      <c r="A34" s="20" t="inlineStr">
        <is>
          <t>U3-C2L5</t>
        </is>
      </c>
      <c r="B34" s="20" t="n">
        <v>3</v>
      </c>
      <c r="C34" s="20" t="inlineStr">
        <is>
          <t>The Drive to Deceive</t>
        </is>
      </c>
      <c r="D34" s="20" t="inlineStr">
        <is>
          <t>Cycle 2, Lesson 5</t>
        </is>
      </c>
      <c r="E34" s="20" t="inlineStr">
        <is>
          <t>U3 C2L5</t>
        </is>
      </c>
      <c r="F34" s="20" t="inlineStr">
        <is>
          <t>Learn poetic devices, then read and annotate “Siren Song” by Margaret Atwood</t>
        </is>
      </c>
      <c r="G34" s="20" t="inlineStr">
        <is>
          <t>Today I will complete my mid-quarter assessment in Studentvue. I will also learn about poetic devices before reading and annotating the poem Siren Song by Margaret Atwood. By the end of class today, I will show my understanding of poetic devices and character motivations through my annotations and short answers in the Siren Song worksheet.</t>
        </is>
      </c>
      <c r="H34" s="20" t="inlineStr">
        <is>
          <t>9.RL.2.C</t>
        </is>
      </c>
      <c r="I34" s="20" t="inlineStr">
        <is>
          <t>What drives people to deceive others?</t>
        </is>
      </c>
      <c r="J34" s="20" t="inlineStr">
        <is>
          <t>Slide Deck</t>
        </is>
      </c>
      <c r="K34" s="20" t="inlineStr"/>
      <c r="L34" s="20" t="inlineStr">
        <is>
          <t>The mid-quarter assessment in this lesson now has its own full day.</t>
        </is>
      </c>
    </row>
    <row r="35">
      <c r="A35" s="20" t="inlineStr">
        <is>
          <t>U3-C3L1</t>
        </is>
      </c>
      <c r="B35" s="20" t="n">
        <v>3</v>
      </c>
      <c r="C35" s="20" t="inlineStr">
        <is>
          <t>The Drive to Deceive</t>
        </is>
      </c>
      <c r="D35" s="20" t="inlineStr">
        <is>
          <t>Cycle 3, Lesson 1</t>
        </is>
      </c>
      <c r="E35" s="20" t="inlineStr">
        <is>
          <t>U3 C3L1</t>
        </is>
      </c>
      <c r="F35" s="20" t="inlineStr">
        <is>
          <t>Write my final draft of my essay on deception.</t>
        </is>
      </c>
      <c r="G35" s="20" t="inlineStr">
        <is>
          <t>Today I will write my final draft of my essay on deception. I will use the text, my deception tracker, my deception mind map, my draft, and my feedback to compose my final essay. By the end of class today, I will show my understanding of planning and organizing my writing, including a clear thesis statement, maintaining a central idea, and incorporating specific details into my response by incorporating all of those aspects into my final essay.</t>
        </is>
      </c>
      <c r="H35" s="20" t="inlineStr">
        <is>
          <t>9.W.3 9.W.2.A 9.W.1iii</t>
        </is>
      </c>
      <c r="I35" s="20" t="inlineStr">
        <is>
          <t>What drives people to deceive others?</t>
        </is>
      </c>
      <c r="J35" s="20" t="inlineStr">
        <is>
          <t>Slid e Deck</t>
        </is>
      </c>
      <c r="K35" s="20" t="inlineStr"/>
      <c r="L35" s="20" t="inlineStr"/>
    </row>
    <row r="36">
      <c r="A36" s="20" t="inlineStr">
        <is>
          <t>U4-C1L1</t>
        </is>
      </c>
      <c r="B36" s="20" t="n">
        <v>4</v>
      </c>
      <c r="C36" s="20" t="inlineStr">
        <is>
          <t>Through Thick and Thin</t>
        </is>
      </c>
      <c r="D36" s="20" t="inlineStr">
        <is>
          <t>Cycle 1, Lesson 1</t>
        </is>
      </c>
      <c r="E36" s="20" t="inlineStr">
        <is>
          <t>U4 C1L1</t>
        </is>
      </c>
      <c r="F36" s="20" t="inlineStr">
        <is>
          <t>Analyze My Father’s Song.” I will do this to explaining author’s craft and style.</t>
        </is>
      </c>
      <c r="G36" s="20" t="inlineStr">
        <is>
          <t>Today, I will analyze My Father’s Song.” I will do this to explaining author’s craft and style. I will know I understand what I am learning when I independently read “My Papa’s Waltz” and correctly identify uses of author’s craft and perspective, and elaborate on my claims using textual evidence.</t>
        </is>
      </c>
      <c r="H36" s="20" t="inlineStr">
        <is>
          <t>9.RL.2 AB 9.DSR C</t>
        </is>
      </c>
      <c r="I36" s="20" t="inlineStr">
        <is>
          <t>What makes relationships so complex?</t>
        </is>
      </c>
      <c r="J36" s="20" t="inlineStr">
        <is>
          <t>Slide Deck</t>
        </is>
      </c>
      <c r="K36" s="20" t="inlineStr">
        <is>
          <t>A theme is a universal idea, lesson, or message explored throughout a work of literature. Choose a theme and write an essay to persuade which two texts in this unit exemplify that theme. Consider how characters, plot, setting, tone, and/or point of view help develop the theme. Develop your ideas using specific reasons and examples from the texts you’ve selected.</t>
        </is>
      </c>
      <c r="L36" s="20" t="inlineStr"/>
    </row>
    <row r="37">
      <c r="A37" s="20" t="inlineStr">
        <is>
          <t>U4-C1L2</t>
        </is>
      </c>
      <c r="B37" s="20" t="n">
        <v>4</v>
      </c>
      <c r="C37" s="20" t="inlineStr">
        <is>
          <t>Through Thick and Thin</t>
        </is>
      </c>
      <c r="D37" s="20" t="inlineStr">
        <is>
          <t>Cycle 1, Lesson 2</t>
        </is>
      </c>
      <c r="E37" s="20" t="inlineStr">
        <is>
          <t>U4 C1L2</t>
        </is>
      </c>
      <c r="F37" s="20" t="inlineStr">
        <is>
          <t>Read Reunion to analyze author’s style and craft.</t>
        </is>
      </c>
      <c r="G37" s="20" t="inlineStr">
        <is>
          <t>Today, I will read Reunion to analyze author’s style and craft. I will also learn about appositives and how they introduce clarifying information. I will know I understand what I am learning when I analyze plot, characters, and author’s style and craft in text-dependent questions about Reunion.</t>
        </is>
      </c>
      <c r="H37" s="20" t="inlineStr">
        <is>
          <t>9.DSR.A&amp;E 9.LU.E 9.RL.3B</t>
        </is>
      </c>
      <c r="I37" s="20" t="inlineStr">
        <is>
          <t>What makes relationships so complex?</t>
        </is>
      </c>
      <c r="J37" s="20" t="inlineStr">
        <is>
          <t>Slide Deck</t>
        </is>
      </c>
      <c r="K37" s="20" t="inlineStr"/>
      <c r="L37" s="20" t="inlineStr"/>
    </row>
    <row r="38">
      <c r="A38" s="20" t="inlineStr">
        <is>
          <t>U4-C1L3</t>
        </is>
      </c>
      <c r="B38" s="20" t="n">
        <v>4</v>
      </c>
      <c r="C38" s="20" t="inlineStr">
        <is>
          <t>Through Thick and Thin</t>
        </is>
      </c>
      <c r="D38" s="20" t="inlineStr">
        <is>
          <t>Cycle 1, Lesson 3</t>
        </is>
      </c>
      <c r="E38" s="20" t="inlineStr">
        <is>
          <t>U4 C1L3</t>
        </is>
      </c>
      <c r="F38" s="20" t="inlineStr">
        <is>
          <t>Compare the perspectives and viewpoints of two or more authors on their treatment of similar topics.</t>
        </is>
      </c>
      <c r="G38" s="20" t="inlineStr">
        <is>
          <t>Today, I will compare the perspectives and viewpoints of two or more authors on their treatment of similar topics. I will know I understand what I am learning when I can compose a persuasive writing piece that reflects my comprehension of “Papa’s Waltz” and Reunion.</t>
        </is>
      </c>
      <c r="H38" s="20" t="inlineStr">
        <is>
          <t>9.RL.3B 9.RI.3A</t>
        </is>
      </c>
      <c r="I38" s="20" t="inlineStr">
        <is>
          <t>What makes relationships so complex?</t>
        </is>
      </c>
      <c r="J38" s="20" t="inlineStr">
        <is>
          <t>Slide Deck</t>
        </is>
      </c>
      <c r="K38" s="20" t="inlineStr"/>
      <c r="L38" s="20" t="inlineStr"/>
    </row>
    <row r="39">
      <c r="A39" s="20" t="inlineStr">
        <is>
          <t>U4-C1L4</t>
        </is>
      </c>
      <c r="B39" s="20" t="n">
        <v>4</v>
      </c>
      <c r="C39" s="20" t="inlineStr">
        <is>
          <t>Through Thick and Thin</t>
        </is>
      </c>
      <c r="D39" s="20" t="inlineStr">
        <is>
          <t>Cycle 1, Lesson 4</t>
        </is>
      </c>
      <c r="E39" s="20" t="inlineStr">
        <is>
          <t>U4 C1L4</t>
        </is>
      </c>
      <c r="F39" s="20" t="inlineStr">
        <is>
          <t>Compare the perspectives of two or more authors on their treatment of similar topics.</t>
        </is>
      </c>
      <c r="G39" s="20" t="inlineStr">
        <is>
          <t>Today, I will compare the perspectives of two or more authors on their treatment of similar topics. I will know I understand what I am learning when I complete a comparison organizer for “Children,” “The Possessive,” and “Parents’ Choice vs. Children’s Dreams” that includes details about the theme, perspective, and word choice from all three texts.</t>
        </is>
      </c>
      <c r="H39" s="20" t="inlineStr">
        <is>
          <t>9.RL.3B 9.RI.3A</t>
        </is>
      </c>
      <c r="I39" s="20" t="inlineStr">
        <is>
          <t>What makes relationships so complex?</t>
        </is>
      </c>
      <c r="J39" s="20" t="inlineStr">
        <is>
          <t>Slide Deck</t>
        </is>
      </c>
      <c r="K39" s="20" t="inlineStr"/>
      <c r="L39" s="20" t="inlineStr"/>
    </row>
    <row r="40">
      <c r="A40" s="20" t="inlineStr">
        <is>
          <t>U4-C1L5</t>
        </is>
      </c>
      <c r="B40" s="20" t="n">
        <v>4</v>
      </c>
      <c r="C40" s="20" t="inlineStr">
        <is>
          <t>Through Thick and Thin</t>
        </is>
      </c>
      <c r="D40" s="20" t="inlineStr">
        <is>
          <t>Cycle 1, Lesson 5</t>
        </is>
      </c>
      <c r="E40" s="20" t="inlineStr">
        <is>
          <t>U4 C1L5</t>
        </is>
      </c>
      <c r="F40" s="20" t="inlineStr">
        <is>
          <t>Review the texts and concepts that I have read so far in Unit 4 to prepare for my Common Assessment.</t>
        </is>
      </c>
      <c r="G40" s="20" t="inlineStr">
        <is>
          <t>Today, I will review the texts and concepts that I have read so far in Unit 4 to prepare for my Common Assessment. I will know I understand what I am learning when I complete my brainstorm theme organizer for my Common Assessment.</t>
        </is>
      </c>
      <c r="H40" s="20" t="inlineStr">
        <is>
          <t>9.DSR C 9.RL.3B 9.W.1.ii</t>
        </is>
      </c>
      <c r="I40" s="20" t="inlineStr">
        <is>
          <t>What makes relationships so complex?</t>
        </is>
      </c>
      <c r="J40" s="20" t="inlineStr">
        <is>
          <t>Slide Deck</t>
        </is>
      </c>
      <c r="K40" s="20" t="inlineStr"/>
      <c r="L40" s="20" t="inlineStr"/>
    </row>
    <row r="41">
      <c r="A41" s="20" t="inlineStr">
        <is>
          <t>U4-C2L1</t>
        </is>
      </c>
      <c r="B41" s="20" t="n">
        <v>4</v>
      </c>
      <c r="C41" s="20" t="inlineStr">
        <is>
          <t>Through Thick and Thin</t>
        </is>
      </c>
      <c r="D41" s="20" t="inlineStr">
        <is>
          <t>Cycle 2, Lesson 1</t>
        </is>
      </c>
      <c r="E41" s="20" t="inlineStr">
        <is>
          <t>U4 C2L1</t>
        </is>
      </c>
      <c r="F41" s="20" t="inlineStr">
        <is>
          <t>Read and analyze The Scarlet Ibis to determine the impact of literary elements on the meaning of the text as a whole.</t>
        </is>
      </c>
      <c r="G41" s="20" t="inlineStr">
        <is>
          <t>Today I will read and analyze The Scarlet Ibis to determine the impact of literary elements on the meaning of the text as a whole. I will know I am successful when I have completed the guided questions and participated in classroom discussion.</t>
        </is>
      </c>
      <c r="H41" s="20" t="inlineStr">
        <is>
          <t>9.RL.3B</t>
        </is>
      </c>
      <c r="I41" s="20" t="inlineStr">
        <is>
          <t>What makes relationships so complex?</t>
        </is>
      </c>
      <c r="J41" s="20" t="inlineStr">
        <is>
          <t>Slide Deck</t>
        </is>
      </c>
      <c r="K41" s="20" t="inlineStr"/>
      <c r="L41" s="20" t="inlineStr"/>
    </row>
    <row r="42">
      <c r="A42" s="20" t="inlineStr">
        <is>
          <t>U4-C2L2</t>
        </is>
      </c>
      <c r="B42" s="20" t="n">
        <v>4</v>
      </c>
      <c r="C42" s="20" t="inlineStr">
        <is>
          <t>Through Thick and Thin</t>
        </is>
      </c>
      <c r="D42" s="20" t="inlineStr">
        <is>
          <t>Cycle 2, Lesson 2</t>
        </is>
      </c>
      <c r="E42" s="20" t="inlineStr">
        <is>
          <t>U4 C2L2</t>
        </is>
      </c>
      <c r="F42" s="20" t="inlineStr">
        <is>
          <t>Review the texts and concepts that I have read so far in Unit 4 to prepare for my Common Assessment.</t>
        </is>
      </c>
      <c r="G42" s="20" t="inlineStr">
        <is>
          <t>Today, I will review the texts and concepts that I have read so far in Unit 4 to prepare for my Common Assessment. I will know I understand what I am learning when I revise my brainstorm theme organizer for my Common Assessment and begin my rough draft.</t>
        </is>
      </c>
      <c r="H42" s="20" t="inlineStr">
        <is>
          <t>9.DSR.C 9.RL.1.C 9.RL.3.B 9.W.1.ii</t>
        </is>
      </c>
      <c r="I42" s="20" t="inlineStr">
        <is>
          <t>What makes relationships so complex?</t>
        </is>
      </c>
      <c r="J42" s="20" t="inlineStr">
        <is>
          <t>Slide Deck</t>
        </is>
      </c>
      <c r="K42" s="20" t="inlineStr"/>
      <c r="L42" s="20" t="inlineStr"/>
    </row>
    <row r="43">
      <c r="A43" s="20" t="inlineStr">
        <is>
          <t>U5-C1L1</t>
        </is>
      </c>
      <c r="B43" s="20" t="n">
        <v>5</v>
      </c>
      <c r="C43" s="20" t="inlineStr">
        <is>
          <t>The Road Less Traveled</t>
        </is>
      </c>
      <c r="D43" s="20" t="inlineStr">
        <is>
          <t>Cycle 1, Lesson 1</t>
        </is>
      </c>
      <c r="E43" s="20" t="inlineStr">
        <is>
          <t>U5 C1L1</t>
        </is>
      </c>
      <c r="F43" s="20" t="inlineStr">
        <is>
          <t>Explain the development of characters and setting in To Kill a Mockingbird.</t>
        </is>
      </c>
      <c r="G43" s="20" t="inlineStr">
        <is>
          <t>By the end of class, I will be able to explain the development of characters and setting in To Kill a Mockingbird. I will know I’m successful when I can use my chapter 1 notes to write a paragraph detailing the importance of characters and setting in the novel.</t>
        </is>
      </c>
      <c r="H43" s="20" t="inlineStr">
        <is>
          <t>9 RL.1.A</t>
        </is>
      </c>
      <c r="I43" s="20" t="inlineStr">
        <is>
          <t>How do the choices we make influence our personal growth and the world around us?</t>
        </is>
      </c>
      <c r="J43" s="20" t="inlineStr">
        <is>
          <t>Slide Deck</t>
        </is>
      </c>
      <c r="K43" s="20" t="inlineStr">
        <is>
          <t>Authors have characters face difficult situations that challenge their values and force them to confront the kind of person they have become or are becoming. Reflect on the various characters you met during this unit. Select a character and analyze their character development within the text. Use specific examples from the text.</t>
        </is>
      </c>
      <c r="L43" s="20" t="inlineStr"/>
    </row>
    <row r="44">
      <c r="A44" s="20" t="inlineStr">
        <is>
          <t>U5-C1L2</t>
        </is>
      </c>
      <c r="B44" s="20" t="n">
        <v>5</v>
      </c>
      <c r="C44" s="20" t="inlineStr">
        <is>
          <t>The Road Less Traveled</t>
        </is>
      </c>
      <c r="D44" s="20" t="inlineStr">
        <is>
          <t>Cycle 1, Lesson 2</t>
        </is>
      </c>
      <c r="E44" s="20" t="inlineStr">
        <is>
          <t>U5 C1L2</t>
        </is>
      </c>
      <c r="F44" s="20" t="inlineStr">
        <is>
          <t>Explain the development of themes in a novel.</t>
        </is>
      </c>
      <c r="G44" s="20" t="inlineStr">
        <is>
          <t>By the end of class, I will be able to explain the development of themes in a novel. I will know I’m successful when I can use textual evidence to explain the initial impression of characters in chapters 1-2 of To Kill a Mockingbird.</t>
        </is>
      </c>
      <c r="H44" s="20" t="inlineStr">
        <is>
          <t>9 RL.1.A</t>
        </is>
      </c>
      <c r="I44" s="20" t="inlineStr">
        <is>
          <t>How do the choices we make influence our personal growth and the world around us?</t>
        </is>
      </c>
      <c r="J44" s="20" t="inlineStr">
        <is>
          <t>Slide Deck</t>
        </is>
      </c>
      <c r="K44" s="20" t="inlineStr"/>
      <c r="L44" s="20" t="inlineStr"/>
    </row>
    <row r="45">
      <c r="A45" s="20" t="inlineStr">
        <is>
          <t>U5-C1L3</t>
        </is>
      </c>
      <c r="B45" s="20" t="n">
        <v>5</v>
      </c>
      <c r="C45" s="20" t="inlineStr">
        <is>
          <t>The Road Less Traveled</t>
        </is>
      </c>
      <c r="D45" s="20" t="inlineStr">
        <is>
          <t>Cycle 1, Lesson 3</t>
        </is>
      </c>
      <c r="E45" s="20" t="inlineStr">
        <is>
          <t>U5 C1L3</t>
        </is>
      </c>
      <c r="F45" s="20" t="inlineStr">
        <is>
          <t>Explain the development of themes through character conflict.</t>
        </is>
      </c>
      <c r="G45" s="20" t="inlineStr">
        <is>
          <t>By the end of class, I will be able to explain the development of themes through character conflict. I will know I’m successful when I can use textual evidence to explain the development of characters through the conflict in chapter 3 in To Kill a Mockingbird.</t>
        </is>
      </c>
      <c r="H45" s="20" t="inlineStr">
        <is>
          <t>9RL.1.A</t>
        </is>
      </c>
      <c r="I45" s="20" t="inlineStr">
        <is>
          <t>How do the choices we make influence our personal growth and the world around us?</t>
        </is>
      </c>
      <c r="J45" s="20" t="inlineStr">
        <is>
          <t>Slide Deck</t>
        </is>
      </c>
      <c r="K45" s="20" t="inlineStr"/>
      <c r="L45" s="20" t="inlineStr"/>
    </row>
    <row r="46">
      <c r="A46" s="20" t="inlineStr">
        <is>
          <t>U5-C1L4</t>
        </is>
      </c>
      <c r="B46" s="20" t="n">
        <v>5</v>
      </c>
      <c r="C46" s="20" t="inlineStr">
        <is>
          <t>The Road Less Traveled</t>
        </is>
      </c>
      <c r="D46" s="20" t="inlineStr">
        <is>
          <t>Cycle 1, Lesson 4</t>
        </is>
      </c>
      <c r="E46" s="20" t="inlineStr">
        <is>
          <t>U5 C1L4</t>
        </is>
      </c>
      <c r="F46" s="20" t="inlineStr">
        <is>
          <t>Explain how conflict shapes the plot of a novel.</t>
        </is>
      </c>
      <c r="G46" s="20" t="inlineStr">
        <is>
          <t>By the end of class, I will be able to explain how conflict shapes the plot of a novel. I will know I’m successful when I can use textual evidence to explain how the plot has affected the characters in chapters 4-7 of To Kill a Mockingbird.</t>
        </is>
      </c>
      <c r="H46" s="20" t="inlineStr">
        <is>
          <t>9 RL.3.B</t>
        </is>
      </c>
      <c r="I46" s="20" t="inlineStr">
        <is>
          <t>How do the choices we make influence our personal growth and the world around us?</t>
        </is>
      </c>
      <c r="J46" s="20" t="inlineStr">
        <is>
          <t>Slide Deck</t>
        </is>
      </c>
      <c r="K46" s="20" t="inlineStr"/>
      <c r="L46" s="20" t="inlineStr"/>
    </row>
    <row r="47">
      <c r="A47" s="20" t="inlineStr">
        <is>
          <t>U5-C1L5</t>
        </is>
      </c>
      <c r="B47" s="20" t="n">
        <v>5</v>
      </c>
      <c r="C47" s="20" t="inlineStr">
        <is>
          <t>The Road Less Traveled</t>
        </is>
      </c>
      <c r="D47" s="20" t="inlineStr">
        <is>
          <t>Cycle 1, Lesson 5</t>
        </is>
      </c>
      <c r="E47" s="20" t="inlineStr">
        <is>
          <t>U5 C1L5</t>
        </is>
      </c>
      <c r="F47" s="20" t="inlineStr">
        <is>
          <t>Explain the development of characters in a novel.I will know I’m successful when I can use textual evidence to respond to text-dependent questions and document important character details on my Character Tracker.</t>
        </is>
      </c>
      <c r="G47" s="20" t="inlineStr">
        <is>
          <t>By the end of class, I will be able to explain the development of characters in a novel.I will know I’m successful when I can use textual evidence to respond to text-dependent questions and document important character details on my Character Tracker.</t>
        </is>
      </c>
      <c r="H47" s="20" t="inlineStr">
        <is>
          <t>9RL.3.B</t>
        </is>
      </c>
      <c r="I47" s="20" t="inlineStr">
        <is>
          <t>How do the choices we make influence our personal growth and the world around us?</t>
        </is>
      </c>
      <c r="J47" s="20" t="inlineStr">
        <is>
          <t>Slide Deck</t>
        </is>
      </c>
      <c r="K47" s="20" t="inlineStr"/>
      <c r="L47" s="20" t="inlineStr"/>
    </row>
    <row r="48">
      <c r="A48" s="20" t="inlineStr">
        <is>
          <t>U5-C2L1</t>
        </is>
      </c>
      <c r="B48" s="20" t="n">
        <v>5</v>
      </c>
      <c r="C48" s="20" t="inlineStr">
        <is>
          <t>The Road Less Traveled</t>
        </is>
      </c>
      <c r="D48" s="20" t="inlineStr">
        <is>
          <t>Cycle 2, Lesson 1</t>
        </is>
      </c>
      <c r="E48" s="20" t="inlineStr">
        <is>
          <t>U5 C2L1</t>
        </is>
      </c>
      <c r="F48" s="20" t="inlineStr">
        <is>
          <t>Explain the development of characters and themes in a novel.</t>
        </is>
      </c>
      <c r="G48" s="20" t="inlineStr">
        <is>
          <t>By the end of class today, I will be able to explain the development of characters and themes in a novel. I will know I’m successful when I can use my notes and discussion to explain how Scout’s development as a character impacts the novel as a whole.</t>
        </is>
      </c>
      <c r="H48" s="20" t="inlineStr">
        <is>
          <t>9 RL.1.A</t>
        </is>
      </c>
      <c r="I48" s="20" t="inlineStr">
        <is>
          <t>How do the choices we make influence our personal growth and the world around us?</t>
        </is>
      </c>
      <c r="J48" s="20" t="inlineStr">
        <is>
          <t>Slide Deck</t>
        </is>
      </c>
      <c r="K48" s="20" t="inlineStr"/>
      <c r="L48" s="20" t="inlineStr"/>
    </row>
    <row r="49">
      <c r="A49" s="20" t="inlineStr">
        <is>
          <t>U5-C2L2</t>
        </is>
      </c>
      <c r="B49" s="20" t="n">
        <v>5</v>
      </c>
      <c r="C49" s="20" t="inlineStr">
        <is>
          <t>The Road Less Traveled</t>
        </is>
      </c>
      <c r="D49" s="20" t="inlineStr">
        <is>
          <t>Cycle 2, Lesson 2</t>
        </is>
      </c>
      <c r="E49" s="20" t="inlineStr">
        <is>
          <t>U5 C2L2</t>
        </is>
      </c>
      <c r="F49" s="20" t="inlineStr">
        <is>
          <t>Explain the relationships between and among particular literary elements of a story.</t>
        </is>
      </c>
      <c r="G49" s="20" t="inlineStr">
        <is>
          <t>By the end of class today, I will be able to explain the relationships between and among particular literary elements of a story. I will know I’m successful when I can explain the development of Scout and Jem and its impact on the coming of age concept of the novel.</t>
        </is>
      </c>
      <c r="H49" s="20" t="inlineStr">
        <is>
          <t>9 RL.3.B</t>
        </is>
      </c>
      <c r="I49" s="20" t="inlineStr">
        <is>
          <t>How do the choices we make influence our personal growth and the world around us?</t>
        </is>
      </c>
      <c r="J49" s="20" t="inlineStr">
        <is>
          <t>Slide Deck</t>
        </is>
      </c>
      <c r="K49" s="20" t="inlineStr"/>
      <c r="L49" s="20" t="inlineStr"/>
    </row>
    <row r="50">
      <c r="A50" s="20" t="inlineStr">
        <is>
          <t>U5-C2L3</t>
        </is>
      </c>
      <c r="B50" s="20" t="n">
        <v>5</v>
      </c>
      <c r="C50" s="20" t="inlineStr">
        <is>
          <t>The Road Less Traveled</t>
        </is>
      </c>
      <c r="D50" s="20" t="inlineStr">
        <is>
          <t>Cycle 2, Lesson 3</t>
        </is>
      </c>
      <c r="E50" s="20" t="inlineStr">
        <is>
          <t>U5 C2L3</t>
        </is>
      </c>
      <c r="F50" s="20" t="inlineStr">
        <is>
          <t>Explain how the plot of a story impacts the character development and theme.</t>
        </is>
      </c>
      <c r="G50" s="20" t="inlineStr">
        <is>
          <t>By the end of class today, I will be able to explain how the plot of a story impacts the character development and theme. I will know I’m successful when I can explain which chapter in this section of the novel is the most important with textual evidence.</t>
        </is>
      </c>
      <c r="H50" s="20" t="inlineStr">
        <is>
          <t>9.RL.3.B</t>
        </is>
      </c>
      <c r="I50" s="20" t="inlineStr">
        <is>
          <t>How do the choices we make influence our personal growth and the world around us?</t>
        </is>
      </c>
      <c r="J50" s="20" t="inlineStr">
        <is>
          <t>Slide Deck</t>
        </is>
      </c>
      <c r="K50" s="20" t="inlineStr"/>
      <c r="L50" s="20" t="inlineStr"/>
    </row>
    <row r="51">
      <c r="A51" s="20" t="inlineStr">
        <is>
          <t>U5-C2L4</t>
        </is>
      </c>
      <c r="B51" s="20" t="n">
        <v>5</v>
      </c>
      <c r="C51" s="20" t="inlineStr">
        <is>
          <t>The Road Less Traveled</t>
        </is>
      </c>
      <c r="D51" s="20" t="inlineStr">
        <is>
          <t>Cycle 2, Lesson 4</t>
        </is>
      </c>
      <c r="E51" s="20" t="inlineStr">
        <is>
          <t>U5 C2L4</t>
        </is>
      </c>
      <c r="F51" s="20" t="inlineStr">
        <is>
          <t>Craft a piece of writing for a specific audience and purpose.</t>
        </is>
      </c>
      <c r="G51" s="20" t="inlineStr">
        <is>
          <t>By the end of class today, I will be able to craft a piece of writing for a specific audience and purpose. I will know I’m successful when I can write a letter to Scout with advice or encouragement, using details from chapter 16 to support my ideas.</t>
        </is>
      </c>
      <c r="H51" s="20" t="inlineStr">
        <is>
          <t>9,RL.1.A 9.W.1.C</t>
        </is>
      </c>
      <c r="I51" s="20" t="inlineStr">
        <is>
          <t>How do the choices we make influence our personal growth and the world around us?</t>
        </is>
      </c>
      <c r="J51" s="20" t="inlineStr">
        <is>
          <t>Slide Deck</t>
        </is>
      </c>
      <c r="K51" s="20" t="inlineStr"/>
      <c r="L51" s="20" t="inlineStr"/>
    </row>
    <row r="52">
      <c r="A52" s="20" t="inlineStr">
        <is>
          <t>U5-C2L5</t>
        </is>
      </c>
      <c r="B52" s="20" t="n">
        <v>5</v>
      </c>
      <c r="C52" s="20" t="inlineStr">
        <is>
          <t>The Road Less Traveled</t>
        </is>
      </c>
      <c r="D52" s="20" t="inlineStr">
        <is>
          <t>Cycle 2, Lesson 5</t>
        </is>
      </c>
      <c r="E52" s="20" t="inlineStr">
        <is>
          <t>U5 C2L5</t>
        </is>
      </c>
      <c r="F52" s="20" t="inlineStr">
        <is>
          <t>Explain the impact of a character’s perspective on a thematic concept.</t>
        </is>
      </c>
      <c r="G52" s="20" t="inlineStr">
        <is>
          <t>By the end of class today, I will be able to explain the impact of a character’s perspective on a thematic concept. I will know I’m successful when I can use details from chapter 17 to articulate how Scout’s perspective affects the idea of justice and injustice in To Kill a Mockingbird.</t>
        </is>
      </c>
      <c r="H52" s="20" t="inlineStr">
        <is>
          <t>9.RL.1.A</t>
        </is>
      </c>
      <c r="I52" s="20" t="inlineStr">
        <is>
          <t>How do the choices we make influence our personal growth and the world around us?</t>
        </is>
      </c>
      <c r="J52" s="20" t="inlineStr">
        <is>
          <t>Slide Deck</t>
        </is>
      </c>
      <c r="K52" s="20" t="inlineStr"/>
      <c r="L52" s="20" t="inlineStr"/>
    </row>
    <row r="53">
      <c r="A53" s="20" t="inlineStr">
        <is>
          <t>U5-C3L1</t>
        </is>
      </c>
      <c r="B53" s="20" t="n">
        <v>5</v>
      </c>
      <c r="C53" s="20" t="inlineStr">
        <is>
          <t>The Road Less Traveled</t>
        </is>
      </c>
      <c r="D53" s="20" t="inlineStr">
        <is>
          <t>Cycle 3, Lesson 1</t>
        </is>
      </c>
      <c r="E53" s="20" t="inlineStr">
        <is>
          <t>U5 C3L1</t>
        </is>
      </c>
      <c r="F53" s="20" t="inlineStr">
        <is>
          <t>Explain the development of a character’s perspective and its effect on the novel as a whole.</t>
        </is>
      </c>
      <c r="G53" s="20" t="inlineStr">
        <is>
          <t>By the end of class today, I will be able to explain the development of a character’s perspective and its effect on the novel as a whole. I will know I’m successful when I can write a letter to the author explaining my evaluation of Scout as a narrator in To Kill a Mockingbird with textual details.</t>
        </is>
      </c>
      <c r="H53" s="20" t="inlineStr">
        <is>
          <t>9.RL.1.A</t>
        </is>
      </c>
      <c r="I53" s="20" t="inlineStr">
        <is>
          <t>How do the choices we make influence our personal growth and the world around us?</t>
        </is>
      </c>
      <c r="J53" s="20" t="inlineStr">
        <is>
          <t>Slide Deck</t>
        </is>
      </c>
      <c r="K53" s="20" t="inlineStr"/>
      <c r="L53" s="20" t="inlineStr"/>
    </row>
    <row r="54">
      <c r="A54" s="20" t="inlineStr">
        <is>
          <t>U5-C3L2</t>
        </is>
      </c>
      <c r="B54" s="20" t="n">
        <v>5</v>
      </c>
      <c r="C54" s="20" t="inlineStr">
        <is>
          <t>The Road Less Traveled</t>
        </is>
      </c>
      <c r="D54" s="20" t="inlineStr">
        <is>
          <t>Cycle 3, Lesson 2</t>
        </is>
      </c>
      <c r="E54" s="20" t="inlineStr">
        <is>
          <t>U5 C3L2</t>
        </is>
      </c>
      <c r="F54" s="20" t="inlineStr">
        <is>
          <t>Explain how an author’s specific word choices and voice shape the meaning of a text.</t>
        </is>
      </c>
      <c r="G54" s="20" t="inlineStr">
        <is>
          <t>By the end of class today, I will be able to explain how an author’s specific word choices and voice shape the meaning of a text. I will know I’m successful when I can use details to explain how Tom Robinson’s testimony in To Kill a Mockingbird affects the reader and shapes the text.</t>
        </is>
      </c>
      <c r="H54" s="20" t="inlineStr">
        <is>
          <t>9.RL.2.B</t>
        </is>
      </c>
      <c r="I54" s="20" t="inlineStr">
        <is>
          <t>How do the choices we make influence our personal growth and the world around us?</t>
        </is>
      </c>
      <c r="J54" s="20" t="inlineStr">
        <is>
          <t>Slide Deck</t>
        </is>
      </c>
      <c r="K54" s="20" t="inlineStr"/>
      <c r="L54" s="20" t="inlineStr"/>
    </row>
    <row r="55">
      <c r="A55" s="20" t="inlineStr">
        <is>
          <t>U5-C3L3</t>
        </is>
      </c>
      <c r="B55" s="20" t="n">
        <v>5</v>
      </c>
      <c r="C55" s="20" t="inlineStr">
        <is>
          <t>The Road Less Traveled</t>
        </is>
      </c>
      <c r="D55" s="20" t="inlineStr">
        <is>
          <t>Cycle 3, Lesson 3</t>
        </is>
      </c>
      <c r="E55" s="20" t="inlineStr">
        <is>
          <t>U5 C3L3</t>
        </is>
      </c>
      <c r="F55" s="20" t="inlineStr">
        <is>
          <t>Plan and draft an introduction and body paragraph on a given prompt.</t>
        </is>
      </c>
      <c r="G55" s="20" t="inlineStr">
        <is>
          <t>By the end of class today, I will be able to plan and draft an introduction and body paragraph on a given prompt. I will know I’m successful when I can use my evidence tracker and teacher notes to plan and draft the introduction and at least one body paragraph for my Unit 5 Common Assessment.</t>
        </is>
      </c>
      <c r="H55" s="20" t="inlineStr">
        <is>
          <t>9.RL.2.B 9.W.2.A.i-ii</t>
        </is>
      </c>
      <c r="I55" s="20" t="inlineStr">
        <is>
          <t>How do the choices we make influence our personal growth and the world around us?</t>
        </is>
      </c>
      <c r="J55" s="20" t="inlineStr">
        <is>
          <t>Slide Deck</t>
        </is>
      </c>
      <c r="K55" s="20" t="inlineStr"/>
      <c r="L55" s="20" t="inlineStr"/>
    </row>
    <row r="56">
      <c r="A56" s="20" t="inlineStr">
        <is>
          <t>U5-C3L4</t>
        </is>
      </c>
      <c r="B56" s="20" t="n">
        <v>5</v>
      </c>
      <c r="C56" s="20" t="inlineStr">
        <is>
          <t>The Road Less Traveled</t>
        </is>
      </c>
      <c r="D56" s="20" t="inlineStr">
        <is>
          <t>Cycle 3, Lesson 4</t>
        </is>
      </c>
      <c r="E56" s="20" t="inlineStr">
        <is>
          <t>U5 C3L4</t>
        </is>
      </c>
      <c r="F56" s="20" t="inlineStr">
        <is>
          <t>Examine and analyze the characteristics of a literary text.</t>
        </is>
      </c>
      <c r="G56" s="20" t="inlineStr">
        <is>
          <t>By the end of class today, I will be able to examine and analyze the characteristics of a literary text. I will know I’m successful when I can explain how the structure of specific chapters relates to the overall development of To Kill a Mockingbird.</t>
        </is>
      </c>
      <c r="H56" s="20" t="inlineStr">
        <is>
          <t>9.RL.2.B</t>
        </is>
      </c>
      <c r="I56" s="20" t="inlineStr">
        <is>
          <t>How do the choices we make influence our personal growth and the world around us?</t>
        </is>
      </c>
      <c r="J56" s="20" t="inlineStr">
        <is>
          <t>Slide Deck</t>
        </is>
      </c>
      <c r="K56" s="20" t="inlineStr"/>
      <c r="L56" s="20" t="inlineStr"/>
    </row>
    <row r="57">
      <c r="A57" s="20" t="inlineStr">
        <is>
          <t>U5-C3L5</t>
        </is>
      </c>
      <c r="B57" s="20" t="n">
        <v>5</v>
      </c>
      <c r="C57" s="20" t="inlineStr">
        <is>
          <t>The Road Less Traveled</t>
        </is>
      </c>
      <c r="D57" s="20" t="inlineStr">
        <is>
          <t>Cycle 3, Lesson 5</t>
        </is>
      </c>
      <c r="E57" s="20" t="inlineStr">
        <is>
          <t>U5 C3L5</t>
        </is>
      </c>
      <c r="F57" s="20" t="inlineStr">
        <is>
          <t>Read and analyze a text for theme development, characterization, setting, and plot.</t>
        </is>
      </c>
      <c r="G57" s="20" t="inlineStr">
        <is>
          <t>By the end of class today, I will be able to read and analyze a text for theme development, characterization, setting, and plot. I will know I’m successful when I can read chapter 24 and complete the cold read assessment with at least 75% accuracy.</t>
        </is>
      </c>
      <c r="H57" s="20" t="inlineStr">
        <is>
          <t>9.RL.1.A</t>
        </is>
      </c>
      <c r="I57" s="20" t="inlineStr">
        <is>
          <t>How do the choices we make influence our personal growth and the world around us?</t>
        </is>
      </c>
      <c r="J57" s="20" t="inlineStr">
        <is>
          <t>Slide Deck</t>
        </is>
      </c>
      <c r="K57" s="20" t="inlineStr"/>
      <c r="L57" s="20" t="inlineStr"/>
    </row>
    <row r="58">
      <c r="A58" s="20" t="inlineStr">
        <is>
          <t>U5-C4L1</t>
        </is>
      </c>
      <c r="B58" s="20" t="n">
        <v>5</v>
      </c>
      <c r="C58" s="20" t="inlineStr">
        <is>
          <t>The Road Less Traveled</t>
        </is>
      </c>
      <c r="D58" s="20" t="inlineStr">
        <is>
          <t>Cycle 4, Lesson 1</t>
        </is>
      </c>
      <c r="E58" s="20" t="inlineStr">
        <is>
          <t>U5 C4L1</t>
        </is>
      </c>
      <c r="F58" s="20" t="inlineStr">
        <is>
          <t>Explain how characters advance the plot and themes in a novel.</t>
        </is>
      </c>
      <c r="G58" s="20" t="inlineStr">
        <is>
          <t>By the end of class today, I will be able to explain how characters advance the plot and themes in a novel. I will know I’m successful when I can explain how the events of a chapter shape characters, and can reflect on their development in the novel.</t>
        </is>
      </c>
      <c r="H58" s="20" t="inlineStr">
        <is>
          <t>9.RL.1.A</t>
        </is>
      </c>
      <c r="I58" s="20" t="inlineStr">
        <is>
          <t>How do the choices we make influence our personal growth and the world around us?</t>
        </is>
      </c>
      <c r="J58" s="20" t="inlineStr">
        <is>
          <t>Slide Deck</t>
        </is>
      </c>
      <c r="K58" s="20" t="inlineStr"/>
      <c r="L58" s="20" t="inlineStr"/>
    </row>
    <row r="59">
      <c r="A59" s="20" t="inlineStr">
        <is>
          <t>U5-C4L2</t>
        </is>
      </c>
      <c r="B59" s="20" t="n">
        <v>5</v>
      </c>
      <c r="C59" s="20" t="inlineStr">
        <is>
          <t>The Road Less Traveled</t>
        </is>
      </c>
      <c r="D59" s="20" t="inlineStr">
        <is>
          <t>Cycle 4, Lesson 2</t>
        </is>
      </c>
      <c r="E59" s="20" t="inlineStr">
        <is>
          <t>U5 C4L2</t>
        </is>
      </c>
      <c r="F59" s="20" t="inlineStr">
        <is>
          <t>Explain how events in a narrative shape characters and lead to themes.</t>
        </is>
      </c>
      <c r="G59" s="20" t="inlineStr">
        <is>
          <t>By the end of class today, I will be able to explain how events in a narrative shape characters and lead to themes. I will know I’m successful when I can use textual evidence to respond to text-dependent inference questions on chapter 27.</t>
        </is>
      </c>
      <c r="H59" s="20" t="inlineStr">
        <is>
          <t>9.RL.1.A</t>
        </is>
      </c>
      <c r="I59" s="20" t="inlineStr">
        <is>
          <t>How do the choices we make influence our personal growth and the world around us?</t>
        </is>
      </c>
      <c r="J59" s="20" t="inlineStr">
        <is>
          <t>Slide Deck</t>
        </is>
      </c>
      <c r="K59" s="20" t="inlineStr"/>
      <c r="L59" s="20" t="inlineStr"/>
    </row>
    <row r="60">
      <c r="A60" s="20" t="inlineStr">
        <is>
          <t>U5-C4L3</t>
        </is>
      </c>
      <c r="B60" s="20" t="n">
        <v>5</v>
      </c>
      <c r="C60" s="20" t="inlineStr">
        <is>
          <t>The Road Less Traveled</t>
        </is>
      </c>
      <c r="D60" s="20" t="inlineStr">
        <is>
          <t>Cycle 4, Lesson 3</t>
        </is>
      </c>
      <c r="E60" s="20" t="inlineStr">
        <is>
          <t>U5 C4L3</t>
        </is>
      </c>
      <c r="F60" s="20" t="inlineStr">
        <is>
          <t>Explain how an author’s specific choices shape the meaning of text.</t>
        </is>
      </c>
      <c r="G60" s="20" t="inlineStr">
        <is>
          <t>By the end of class today, I will be able to explain how an author’s specific choices shape the meaning of text. I will know I’m successful when I can explain how Harper Lee develops conflict in chapter 28 of To Kill a Mockingbird.</t>
        </is>
      </c>
      <c r="H60" s="20" t="inlineStr">
        <is>
          <t>9.RL.2.B</t>
        </is>
      </c>
      <c r="I60" s="20" t="inlineStr">
        <is>
          <t>How do the choices we make influence our personal growth and the world around us?</t>
        </is>
      </c>
      <c r="J60" s="20" t="inlineStr">
        <is>
          <t>Slide Deck</t>
        </is>
      </c>
      <c r="K60" s="20" t="inlineStr"/>
      <c r="L60" s="20" t="inlineStr"/>
    </row>
    <row r="61">
      <c r="A61" s="20" t="inlineStr">
        <is>
          <t>U5-C4L4</t>
        </is>
      </c>
      <c r="B61" s="20" t="n">
        <v>5</v>
      </c>
      <c r="C61" s="20" t="inlineStr">
        <is>
          <t>The Road Less Traveled</t>
        </is>
      </c>
      <c r="D61" s="20" t="inlineStr">
        <is>
          <t>Cycle 4, Lesson 4</t>
        </is>
      </c>
      <c r="E61" s="20" t="inlineStr">
        <is>
          <t>U5 C4L4</t>
        </is>
      </c>
      <c r="F61" s="20" t="inlineStr">
        <is>
          <t>Explain implied themes in a novel.</t>
        </is>
      </c>
      <c r="G61" s="20" t="inlineStr">
        <is>
          <t>By the end of class today, I will be able to explain implied themes in a novel. I will know I’m successful when I can use textual evidence from chapters 29 &amp; 30 to support my ideas of what justice means according to the novel.</t>
        </is>
      </c>
      <c r="H61" s="20" t="inlineStr">
        <is>
          <t>9.RL.1.A</t>
        </is>
      </c>
      <c r="I61" s="20" t="inlineStr">
        <is>
          <t>How do the choices we make influence our personal growth and the world around us?</t>
        </is>
      </c>
      <c r="J61" s="20" t="inlineStr">
        <is>
          <t>Slide Deck</t>
        </is>
      </c>
      <c r="K61" s="20" t="inlineStr"/>
      <c r="L61" s="20" t="inlineStr"/>
    </row>
    <row r="62">
      <c r="A62" s="20" t="inlineStr">
        <is>
          <t>U5-C4L5</t>
        </is>
      </c>
      <c r="B62" s="20" t="n">
        <v>5</v>
      </c>
      <c r="C62" s="20" t="inlineStr">
        <is>
          <t>The Road Less Traveled</t>
        </is>
      </c>
      <c r="D62" s="20" t="inlineStr">
        <is>
          <t>Cycle 4, Lesson 5</t>
        </is>
      </c>
      <c r="E62" s="20" t="inlineStr">
        <is>
          <t>U5 C4L5</t>
        </is>
      </c>
      <c r="F62" s="20" t="inlineStr">
        <is>
          <t>Explain implied themes in a novel.</t>
        </is>
      </c>
      <c r="G62" s="20" t="inlineStr">
        <is>
          <t>By the end of class today, I will be able to explain implied themes in a novel. I will know I’m successful when I can use textual evidence from the novel to support a specific theme from To Kill a Mockingbird.</t>
        </is>
      </c>
      <c r="H62" s="20" t="inlineStr">
        <is>
          <t>9.RL.1.A</t>
        </is>
      </c>
      <c r="I62" s="20" t="inlineStr">
        <is>
          <t>How do the choices we make influence our personal growth and the world around us?</t>
        </is>
      </c>
      <c r="J62" s="20" t="inlineStr">
        <is>
          <t>Slide Deck</t>
        </is>
      </c>
      <c r="K62" s="20" t="inlineStr"/>
      <c r="L62" s="20" t="inlineStr"/>
    </row>
    <row r="63">
      <c r="A63" s="20" t="inlineStr">
        <is>
          <t>U5-C5L1</t>
        </is>
      </c>
      <c r="B63" s="20" t="n">
        <v>5</v>
      </c>
      <c r="C63" s="20" t="inlineStr">
        <is>
          <t>The Road Less Traveled</t>
        </is>
      </c>
      <c r="D63" s="20" t="inlineStr">
        <is>
          <t>Cycle 5, Lesson 1</t>
        </is>
      </c>
      <c r="E63" s="20" t="inlineStr">
        <is>
          <t>U5 C5L1</t>
        </is>
      </c>
      <c r="F63" s="20" t="inlineStr">
        <is>
          <t>Read and analyze literary and informational texts.</t>
        </is>
      </c>
      <c r="G63" s="20" t="inlineStr">
        <is>
          <t>By the end of class today, I will be able to read and analyze literary and informational texts. I will know I’m successful when I can complete the benchmark exam successfully.</t>
        </is>
      </c>
      <c r="H63" s="20" t="inlineStr">
        <is>
          <t>9.RL 9.RI</t>
        </is>
      </c>
      <c r="I63" s="20" t="inlineStr">
        <is>
          <t>How do the choices we make influence our personal growth and the world around us?</t>
        </is>
      </c>
      <c r="J63" s="20" t="inlineStr">
        <is>
          <t>Slide Deck</t>
        </is>
      </c>
      <c r="K63" s="20" t="inlineStr"/>
      <c r="L63" s="20" t="inlineStr">
        <is>
          <t>This lesson is the Q3 benchmark. It is scheduled as the Q3 Benchmark assessment day, so it is not in the pacing list.</t>
        </is>
      </c>
    </row>
    <row r="64">
      <c r="A64" s="20" t="inlineStr">
        <is>
          <t>U5-C5L2</t>
        </is>
      </c>
      <c r="B64" s="20" t="n">
        <v>5</v>
      </c>
      <c r="C64" s="20" t="inlineStr">
        <is>
          <t>The Road Less Traveled</t>
        </is>
      </c>
      <c r="D64" s="20" t="inlineStr">
        <is>
          <t>Cycle 5, Lesson 2</t>
        </is>
      </c>
      <c r="E64" s="20" t="inlineStr">
        <is>
          <t>U5 C5L2</t>
        </is>
      </c>
      <c r="F64" s="20" t="inlineStr">
        <is>
          <t>Examine and analyze the characteristics of literature that contribute to the development of theme.</t>
        </is>
      </c>
      <c r="G64" s="20" t="inlineStr">
        <is>
          <t>By the end of class today, I will be able to examine and analyze the characteristics of literature that contribute to the development of theme. I will know I’m successful when I can use textual evidence to answer critical-thinking, synthesizing, and analytical questions on To Kill a Mockingbird, as well as begin my draft for my Unit 5 Common Assessment essay.</t>
        </is>
      </c>
      <c r="H64" s="20" t="inlineStr">
        <is>
          <t>9.RL.1.A 9.RL.1.C 9.RL.2.B</t>
        </is>
      </c>
      <c r="I64" s="20" t="inlineStr">
        <is>
          <t>How do the choices we make influence our personal growth and the world around us?</t>
        </is>
      </c>
      <c r="J64" s="20" t="inlineStr">
        <is>
          <t>Slide Deck</t>
        </is>
      </c>
      <c r="K64" s="20" t="inlineStr"/>
      <c r="L64" s="20" t="inlineStr"/>
    </row>
    <row r="65">
      <c r="A65" s="20" t="inlineStr">
        <is>
          <t>U5-C5L3</t>
        </is>
      </c>
      <c r="B65" s="20" t="n">
        <v>5</v>
      </c>
      <c r="C65" s="20" t="inlineStr">
        <is>
          <t>The Road Less Traveled</t>
        </is>
      </c>
      <c r="D65" s="20" t="inlineStr">
        <is>
          <t>Cycle 5, Lesson 3</t>
        </is>
      </c>
      <c r="E65" s="20" t="inlineStr">
        <is>
          <t>U5 C5L3</t>
        </is>
      </c>
      <c r="F65" s="20" t="inlineStr">
        <is>
          <t>Examine and analyze the characteristics of literature that contribute to the development of theme.</t>
        </is>
      </c>
      <c r="G65" s="20" t="inlineStr">
        <is>
          <t>By the end of class today, I will be able to examine and analyze the characteristics of literature that contribute to the development of theme. I will know I’m successful when I can use textual support to explain the development of themes in To Kill a Mockingbird during the Socratic Seminar, as well as finalize my draft for my Unit 5 Common Assessment essay.</t>
        </is>
      </c>
      <c r="H65" s="20" t="inlineStr">
        <is>
          <t>9.RL.1.A 9.RL.1.C 9.RL.2.B</t>
        </is>
      </c>
      <c r="I65" s="20" t="inlineStr">
        <is>
          <t>How do the choices we make influence our personal growth and the world around us?</t>
        </is>
      </c>
      <c r="J65" s="20" t="inlineStr">
        <is>
          <t>Slide Deck</t>
        </is>
      </c>
      <c r="K65" s="20" t="inlineStr"/>
      <c r="L65" s="20" t="inlineStr"/>
    </row>
    <row r="66">
      <c r="A66" s="20" t="inlineStr">
        <is>
          <t>U6-C1L1</t>
        </is>
      </c>
      <c r="B66" s="20" t="n">
        <v>6</v>
      </c>
      <c r="C66" s="20" t="inlineStr">
        <is>
          <t>The Power of Pen &amp; Page</t>
        </is>
      </c>
      <c r="D66" s="20" t="inlineStr">
        <is>
          <t>Cycle 1, Lesson 1</t>
        </is>
      </c>
      <c r="E66" s="20" t="inlineStr">
        <is>
          <t>U6 C1L1</t>
        </is>
      </c>
      <c r="F66" s="20" t="inlineStr">
        <is>
          <t>Read Martin Luther King Jr.’s Letter from Birmingham Jail.</t>
        </is>
      </c>
      <c r="G66" s="20" t="inlineStr">
        <is>
          <t>Today, I will read Martin Luther King Jr.’s Letter from Birmingham Jail. I will keep track of how the language, purpose, and audience reflects the time period in which it was written using the guiding questions and my notes catcher. By the end of class, I will show my understanding by participating in class discussions, responding to the guiding questions, and completing the appropriate section of my notes catcher.</t>
        </is>
      </c>
      <c r="H66" s="20" t="inlineStr">
        <is>
          <t>DSR.C, 9.RI.1.A, 9.RI.1.C, 9.RI.12.C</t>
        </is>
      </c>
      <c r="I66" s="20" t="inlineStr">
        <is>
          <t>How does the written word shape our understanding of the world and influence social change?</t>
        </is>
      </c>
      <c r="J66" s="20" t="inlineStr">
        <is>
          <t>Slide Deck</t>
        </is>
      </c>
      <c r="K66" s="20" t="inlineStr">
        <is>
          <t>Common AssessmentCompare and contrast the impact of two influential pieces of writing - one from the past (Martin Luther King, Jr.’s “Letter from Birmingham Jail” or Abraham Lincoln’s “Gettysburg Address”) and one from the present (Biden’s Inauguration Speech, Trump’s 2017 Speech or Trump’s 2024 speech). These texts have contributed to social change or influenced public opinion. How do the language, purpose, and audience of these texts reflect the time period in which they were written, and what lasting effects have they had on society?</t>
        </is>
      </c>
      <c r="L66" s="20" t="inlineStr"/>
    </row>
    <row r="67">
      <c r="A67" s="20" t="inlineStr">
        <is>
          <t>U6-C1L2</t>
        </is>
      </c>
      <c r="B67" s="20" t="n">
        <v>6</v>
      </c>
      <c r="C67" s="20" t="inlineStr">
        <is>
          <t>The Power of Pen &amp; Page</t>
        </is>
      </c>
      <c r="D67" s="20" t="inlineStr">
        <is>
          <t>Cycle 1, Lesson 2</t>
        </is>
      </c>
      <c r="E67" s="20" t="inlineStr">
        <is>
          <t>U6 C1L2</t>
        </is>
      </c>
      <c r="F67" s="20" t="inlineStr">
        <is>
          <t>Analyze how authors use rhetorical strategies to create ethos, logos, and pathos and impact the reader I will also use parallel structure across sentences and paragraphs to link and compare/contrast in writing, By the end of class, I will show my understanding by participating in class discussions, completing No Red Ink exercises, and completing the appropriate section of my notes catcher.</t>
        </is>
      </c>
      <c r="G67" s="20" t="inlineStr">
        <is>
          <t>Today, I will analyze how authors use rhetorical strategies to create ethos, logos, and pathos and impact the reader I will also use parallel structure across sentences and paragraphs to link and compare/contrast in writing, By the end of class, I will show my understanding by participating in class discussions, completing No Red Ink exercises, and completing the appropriate section of my notes catcher.</t>
        </is>
      </c>
      <c r="H67" s="20" t="inlineStr">
        <is>
          <t>DSR.C, 9.RI.1.A, 9.RI.1.C, 9.RI.12.C, 9.LU.1.A</t>
        </is>
      </c>
      <c r="I67" s="20" t="inlineStr">
        <is>
          <t>How does the written word shape our understanding of the world and influence social change?</t>
        </is>
      </c>
      <c r="J67" s="20" t="inlineStr">
        <is>
          <t>Slide Deck</t>
        </is>
      </c>
      <c r="K67" s="20" t="inlineStr"/>
      <c r="L67" s="20" t="inlineStr"/>
    </row>
    <row r="68">
      <c r="A68" s="20" t="inlineStr">
        <is>
          <t>U6-C1L3</t>
        </is>
      </c>
      <c r="B68" s="20" t="n">
        <v>6</v>
      </c>
      <c r="C68" s="20" t="inlineStr">
        <is>
          <t>The Power of Pen &amp; Page</t>
        </is>
      </c>
      <c r="D68" s="20" t="inlineStr">
        <is>
          <t>Cycle 1, Lesson 3</t>
        </is>
      </c>
      <c r="E68" s="20" t="inlineStr">
        <is>
          <t>U6 C1L3</t>
        </is>
      </c>
      <c r="F68" s="20" t="inlineStr">
        <is>
          <t>Read The Gettysburg Address by Abraham Lincoln.</t>
        </is>
      </c>
      <c r="G68" s="20" t="inlineStr">
        <is>
          <t>Today, I will read The Gettysburg Address by Abraham Lincoln. I will keep track of how the language, purpose, and audience reflects the time period in which it was written. By the end of class, I will show my understanding by participating in class discussions, responding to the guiding questions, and completing the appropriate section of my notes catcher.</t>
        </is>
      </c>
      <c r="H68" s="20" t="inlineStr">
        <is>
          <t>DSR.C, 9.RI.1.A, 9.RI.1.C, 9.RI.2.B</t>
        </is>
      </c>
      <c r="I68" s="20" t="inlineStr">
        <is>
          <t>How does the written word shape our understanding of the world and influence social change?</t>
        </is>
      </c>
      <c r="J68" s="20" t="inlineStr">
        <is>
          <t>Slide Deck</t>
        </is>
      </c>
      <c r="K68" s="20" t="inlineStr"/>
      <c r="L68" s="20" t="inlineStr"/>
    </row>
    <row r="69">
      <c r="A69" s="20" t="inlineStr">
        <is>
          <t>U6-C1L4</t>
        </is>
      </c>
      <c r="B69" s="20" t="n">
        <v>6</v>
      </c>
      <c r="C69" s="20" t="inlineStr">
        <is>
          <t>The Power of Pen &amp; Page</t>
        </is>
      </c>
      <c r="D69" s="20" t="inlineStr">
        <is>
          <t>Cycle 1, Lesson 4</t>
        </is>
      </c>
      <c r="E69" s="20" t="inlineStr">
        <is>
          <t>U6 C1L4</t>
        </is>
      </c>
      <c r="F69" s="20" t="inlineStr">
        <is>
          <t>Read”Only Daughter” by Sandra Cisneros.</t>
        </is>
      </c>
      <c r="G69" s="20" t="inlineStr">
        <is>
          <t>Today, I will read”Only Daughter” by Sandra Cisneros. I will analyze the development of implied themes over the course of the text and the relationship of characters, setting, and plot to those themes. I will also use context to clarify the meanings of words. By the end of class, I will show my understanding by participating in class discussions and responding to the guiding questions.</t>
        </is>
      </c>
      <c r="H69" s="20" t="inlineStr">
        <is>
          <t>9.RV.B, 9.RL.1.A, 9.DSR.C</t>
        </is>
      </c>
      <c r="I69" s="20" t="inlineStr">
        <is>
          <t>How does the written word shape our understanding of the world and influence social change?</t>
        </is>
      </c>
      <c r="J69" s="20" t="inlineStr">
        <is>
          <t>Slide Deck</t>
        </is>
      </c>
      <c r="K69" s="20" t="inlineStr"/>
      <c r="L69" s="20" t="inlineStr"/>
    </row>
    <row r="70">
      <c r="A70" s="20" t="inlineStr">
        <is>
          <t>U6-C1L5</t>
        </is>
      </c>
      <c r="B70" s="20" t="n">
        <v>6</v>
      </c>
      <c r="C70" s="20" t="inlineStr">
        <is>
          <t>The Power of Pen &amp; Page</t>
        </is>
      </c>
      <c r="D70" s="20" t="inlineStr">
        <is>
          <t>Cycle 1, Lesson 5</t>
        </is>
      </c>
      <c r="E70" s="20" t="inlineStr">
        <is>
          <t>U6 C1L5</t>
        </is>
      </c>
      <c r="F70" s="20" t="inlineStr">
        <is>
          <t>Read “To Be of Use” and “For the young who want to” by Marge Piercy.</t>
        </is>
      </c>
      <c r="G70" s="20" t="inlineStr">
        <is>
          <t>Today, I will read “To Be of Use” and “For the young who want to” by Marge Piercy. I will explain implied themes and analyze the use of literary devices in poetry to convey a message and elicit emotions. By the end of class, I will show my understanding by participating in class discussions, responding to the guiding questions, and examining the use of parallel structure in the text.</t>
        </is>
      </c>
      <c r="H70" s="20" t="inlineStr">
        <is>
          <t>9.DSR.C, 9.RL.1.A, 9.RL.2.A</t>
        </is>
      </c>
      <c r="I70" s="20" t="inlineStr">
        <is>
          <t>How does the written word shape our understanding of the world and influence social change?</t>
        </is>
      </c>
      <c r="J70" s="20" t="inlineStr">
        <is>
          <t>Slide Deck</t>
        </is>
      </c>
      <c r="K70" s="20" t="inlineStr"/>
      <c r="L70" s="20" t="inlineStr"/>
    </row>
    <row r="71">
      <c r="A71" s="20" t="inlineStr">
        <is>
          <t>U6-C2L1</t>
        </is>
      </c>
      <c r="B71" s="20" t="n">
        <v>6</v>
      </c>
      <c r="C71" s="20" t="inlineStr">
        <is>
          <t>The Power of Pen &amp; Page</t>
        </is>
      </c>
      <c r="D71" s="20" t="inlineStr">
        <is>
          <t>Cycle 2, Lesson 1</t>
        </is>
      </c>
      <c r="E71" s="20" t="inlineStr">
        <is>
          <t>U6 C2L1</t>
        </is>
      </c>
      <c r="F71" s="20" t="inlineStr">
        <is>
          <t>Read “Indian Education” by Sherman Alexie.</t>
        </is>
      </c>
      <c r="G71" s="20" t="inlineStr">
        <is>
          <t>Today, I will read “Indian Education” by Sherman Alexie. I will examine the theme of this text and the relationship of characters, setting, and plot. By the end of class, I will show my understanding by participating in class discussions and responding to the guiding questions.</t>
        </is>
      </c>
      <c r="H71" s="20" t="inlineStr">
        <is>
          <t>9.DSR.C, 9.RL.1.A 9.RL.2.B</t>
        </is>
      </c>
      <c r="I71" s="20" t="inlineStr">
        <is>
          <t>How does the written word shape our understanding of the world and influence social change?</t>
        </is>
      </c>
      <c r="J71" s="20" t="inlineStr">
        <is>
          <t>Slide Deck</t>
        </is>
      </c>
      <c r="K71" s="20" t="inlineStr"/>
      <c r="L71" s="20" t="inlineStr"/>
    </row>
    <row r="72">
      <c r="A72" s="20" t="inlineStr">
        <is>
          <t>U6-C2L2</t>
        </is>
      </c>
      <c r="B72" s="20" t="n">
        <v>6</v>
      </c>
      <c r="C72" s="20" t="inlineStr">
        <is>
          <t>The Power of Pen &amp; Page</t>
        </is>
      </c>
      <c r="D72" s="20" t="inlineStr">
        <is>
          <t>Cycle 2, Lesson 2</t>
        </is>
      </c>
      <c r="E72" s="20" t="inlineStr">
        <is>
          <t>U6 C2L2</t>
        </is>
      </c>
      <c r="F72" s="20" t="inlineStr">
        <is>
          <t>Read the poem“Saying Yes.” I will analyze how authors use rhetorical strategies to create ethos, logos, and pathos and impact the reader.</t>
        </is>
      </c>
      <c r="G72" s="20" t="inlineStr">
        <is>
          <t>Today, I will read the poem“Saying Yes.” I will analyze how authors use rhetorical strategies to create ethos, logos, and pathos and impact the reader. By the end of class, I will show my understanding by completing the Guiding Questions and the specified section of my Common Assessment Tracker.</t>
        </is>
      </c>
      <c r="H72" s="20" t="inlineStr">
        <is>
          <t>9.DSR.C 9.RL.2.A 9.RL.2.B 9.RI.2.B</t>
        </is>
      </c>
      <c r="I72" s="20" t="inlineStr">
        <is>
          <t>How does the written word shape our understanding of the world and influence social change?</t>
        </is>
      </c>
      <c r="J72" s="20" t="inlineStr">
        <is>
          <t>Slide Deck</t>
        </is>
      </c>
      <c r="K72" s="20" t="inlineStr"/>
      <c r="L72" s="20" t="inlineStr"/>
    </row>
    <row r="73">
      <c r="A73" s="20" t="inlineStr">
        <is>
          <t>U6-C2L3</t>
        </is>
      </c>
      <c r="B73" s="20" t="n">
        <v>6</v>
      </c>
      <c r="C73" s="20" t="inlineStr">
        <is>
          <t>The Power of Pen &amp; Page</t>
        </is>
      </c>
      <c r="D73" s="20" t="inlineStr">
        <is>
          <t>Cycle 2, Lesson 3</t>
        </is>
      </c>
      <c r="E73" s="20" t="inlineStr">
        <is>
          <t>U6 C2L3</t>
        </is>
      </c>
      <c r="F73" s="20" t="inlineStr">
        <is>
          <t>Analyze how authors use rhetorical devices to create ethos, logos, and pathos and impact the reader.</t>
        </is>
      </c>
      <c r="G73" s="20" t="inlineStr">
        <is>
          <t>Today, I will analyze how authors use rhetorical devices to create ethos, logos, and pathos and impact the reader. By the end of class, I will demonstrate my understanding by participating in class discussions and completing a Comparison/Contrast Graphic Organizer.</t>
        </is>
      </c>
      <c r="H73" s="20" t="inlineStr">
        <is>
          <t>9.DSR.C, 9.RI.1.A 9.RI.1.C 9.RI.2.B, 9.RI.2.C</t>
        </is>
      </c>
      <c r="I73" s="20" t="inlineStr">
        <is>
          <t>How does the written word shape our understanding of the world and influence social change?</t>
        </is>
      </c>
      <c r="J73" s="20" t="inlineStr">
        <is>
          <t>Slide Deck</t>
        </is>
      </c>
      <c r="K73" s="20" t="inlineStr"/>
      <c r="L73" s="20" t="inlineStr"/>
    </row>
    <row r="74">
      <c r="A74" s="20" t="inlineStr">
        <is>
          <t>U6-C2L4</t>
        </is>
      </c>
      <c r="B74" s="20" t="n">
        <v>6</v>
      </c>
      <c r="C74" s="20" t="inlineStr">
        <is>
          <t>The Power of Pen &amp; Page</t>
        </is>
      </c>
      <c r="D74" s="20" t="inlineStr">
        <is>
          <t>Cycle 2, Lesson 4</t>
        </is>
      </c>
      <c r="E74" s="20" t="inlineStr">
        <is>
          <t>U6 C2L4</t>
        </is>
      </c>
      <c r="F74" s="20" t="inlineStr">
        <is>
          <t>Plan and organize my writing.</t>
        </is>
      </c>
      <c r="G74" s="20" t="inlineStr">
        <is>
          <t>Today, I will plan and organize my writing. I will organize my ideas, with evidence, in a logical sequence. By the end of class, I will have completed my common assessment essay in No Red Ink.</t>
        </is>
      </c>
      <c r="H74" s="20" t="inlineStr">
        <is>
          <t>9.W.1.A. i, ii, iii, iv, 9.W.2.A.i, ii, iii, 9.W.3.A 9.W.3.C</t>
        </is>
      </c>
      <c r="I74" s="20" t="inlineStr">
        <is>
          <t>How does the written word shape our understanding of the world and influence social change?</t>
        </is>
      </c>
      <c r="J74" s="20" t="inlineStr">
        <is>
          <t>Slide Deck</t>
        </is>
      </c>
      <c r="K74" s="20" t="inlineStr"/>
      <c r="L74" s="20" t="inlineStr"/>
    </row>
    <row r="75">
      <c r="A75" s="20" t="inlineStr">
        <is>
          <t>U7-C1L1</t>
        </is>
      </c>
      <c r="B75" s="20" t="n">
        <v>7</v>
      </c>
      <c r="C75" s="20" t="inlineStr">
        <is>
          <t>Perspectives &amp; Principles</t>
        </is>
      </c>
      <c r="D75" s="20" t="inlineStr">
        <is>
          <t>Cycle 1, Lesson 1</t>
        </is>
      </c>
      <c r="E75" s="20" t="inlineStr">
        <is>
          <t>U7 C1L1</t>
        </is>
      </c>
      <c r="F75" s="20" t="inlineStr">
        <is>
          <t>Read “The Most Dangerous Game” by Richard Connell to examine the theme of this text and the relationship of characters, setting, and plot.</t>
        </is>
      </c>
      <c r="G75" s="20" t="inlineStr">
        <is>
          <t>Today, I will read “The Most Dangerous Game” by Richard Connell to examine the theme of this text and the relationship of characters, setting, and plot. By the end of class, I will show my understanding by participating in class discussions and responding to the guiding questions.</t>
        </is>
      </c>
      <c r="H75" s="20" t="inlineStr">
        <is>
          <t>9.RL.1.A 9.RL.1.C 9.RL.3.B</t>
        </is>
      </c>
      <c r="I75" s="20" t="inlineStr">
        <is>
          <t>What factors shape our values and beliefs?</t>
        </is>
      </c>
      <c r="J75" s="20" t="inlineStr">
        <is>
          <t>Slide Deck</t>
        </is>
      </c>
      <c r="K75" s="20" t="inlineStr">
        <is>
          <t>Common Assessment: Students will write a well-developed expository essay and create a corresponding visual. Specific details are located in the slide decks.</t>
        </is>
      </c>
      <c r="L75" s="20" t="inlineStr"/>
    </row>
    <row r="76">
      <c r="A76" s="20" t="inlineStr">
        <is>
          <t>U7-C1L2</t>
        </is>
      </c>
      <c r="B76" s="20" t="n">
        <v>7</v>
      </c>
      <c r="C76" s="20" t="inlineStr">
        <is>
          <t>Perspectives &amp; Principles</t>
        </is>
      </c>
      <c r="D76" s="20" t="inlineStr">
        <is>
          <t>Cycle 1, Lesson 2</t>
        </is>
      </c>
      <c r="E76" s="20" t="inlineStr">
        <is>
          <t>U7 C1L2</t>
        </is>
      </c>
      <c r="F76" s="20" t="inlineStr">
        <is>
          <t>Read “The Most Dangerous Game” by Richard Connell to examine the theme of this text and the relationship of characters, setting, and plot.</t>
        </is>
      </c>
      <c r="G76" s="20" t="inlineStr">
        <is>
          <t>Today, I will read “The Most Dangerous Game” by Richard Connell to examine the theme of this text and the relationship of characters, setting, and plot. By the end of class, I will show my understanding by participating in class discussions and responding to the guiding questions.</t>
        </is>
      </c>
      <c r="H76" s="20" t="inlineStr">
        <is>
          <t>9.RL.1.A 9.RL.1.C 9.RL.3.B</t>
        </is>
      </c>
      <c r="I76" s="20" t="inlineStr">
        <is>
          <t>What factors shape our values and beliefs?</t>
        </is>
      </c>
      <c r="J76" s="20" t="inlineStr">
        <is>
          <t>Slide Deck</t>
        </is>
      </c>
      <c r="K76" s="20" t="inlineStr"/>
      <c r="L76" s="20" t="inlineStr"/>
    </row>
    <row r="77">
      <c r="A77" s="20" t="inlineStr">
        <is>
          <t>U7-C1L3</t>
        </is>
      </c>
      <c r="B77" s="20" t="n">
        <v>7</v>
      </c>
      <c r="C77" s="20" t="inlineStr">
        <is>
          <t>Perspectives &amp; Principles</t>
        </is>
      </c>
      <c r="D77" s="20" t="inlineStr">
        <is>
          <t>Cycle 1, Lesson 3</t>
        </is>
      </c>
      <c r="E77" s="20" t="inlineStr">
        <is>
          <t>U7 C1L3</t>
        </is>
      </c>
      <c r="F77" s="20" t="inlineStr">
        <is>
          <t>Read “The Most Dangerous Game” by Richard Connell to examine the theme of this text and the relationship of characters, setting, and plot.</t>
        </is>
      </c>
      <c r="G77" s="20" t="inlineStr">
        <is>
          <t>Today, I will read “The Most Dangerous Game” by Richard Connell to examine the theme of this text and the relationship of characters, setting, and plot. By the end of class, I will show my understanding by participating in class discussions and responding to the guiding questions.</t>
        </is>
      </c>
      <c r="H77" s="20" t="inlineStr">
        <is>
          <t>9.RL.1.A 9.RL.1.C 9.RL.3.B</t>
        </is>
      </c>
      <c r="I77" s="20" t="inlineStr">
        <is>
          <t>What factors shape our values and beliefs?</t>
        </is>
      </c>
      <c r="J77" s="20" t="inlineStr">
        <is>
          <t>Slide Deck</t>
        </is>
      </c>
      <c r="K77" s="20" t="inlineStr"/>
      <c r="L77" s="20" t="inlineStr"/>
    </row>
    <row r="78">
      <c r="A78" s="20" t="inlineStr">
        <is>
          <t>U7-C1L4</t>
        </is>
      </c>
      <c r="B78" s="20" t="n">
        <v>7</v>
      </c>
      <c r="C78" s="20" t="inlineStr">
        <is>
          <t>Perspectives &amp; Principles</t>
        </is>
      </c>
      <c r="D78" s="20" t="inlineStr">
        <is>
          <t>Cycle 1, Lesson 4</t>
        </is>
      </c>
      <c r="E78" s="20" t="inlineStr">
        <is>
          <t>U7 C1L4</t>
        </is>
      </c>
      <c r="F78" s="20" t="inlineStr">
        <is>
          <t>Demonstrate my understanding of the short story “The Most Dangerous Game” by Richard Connell by completing an assessment.</t>
        </is>
      </c>
      <c r="G78" s="20" t="inlineStr">
        <is>
          <t>Today, I will demonstrate my understanding of the short story “The Most Dangerous Game” by Richard Connell by completing an assessment. I’ve got it when I am able to respond to multiple choice and short answer questions.</t>
        </is>
      </c>
      <c r="H78" s="20" t="inlineStr">
        <is>
          <t>9.RL.1.A 9.RL.1.C 9.RL.3.B</t>
        </is>
      </c>
      <c r="I78" s="20" t="inlineStr">
        <is>
          <t>What factors shape our values and beliefs?</t>
        </is>
      </c>
      <c r="J78" s="20" t="inlineStr">
        <is>
          <t>Slide Deck</t>
        </is>
      </c>
      <c r="K78" s="20" t="inlineStr"/>
      <c r="L78" s="20" t="inlineStr"/>
    </row>
    <row r="79">
      <c r="A79" s="20" t="inlineStr">
        <is>
          <t>U7-C1L5</t>
        </is>
      </c>
      <c r="B79" s="20" t="n">
        <v>7</v>
      </c>
      <c r="C79" s="20" t="inlineStr">
        <is>
          <t>Perspectives &amp; Principles</t>
        </is>
      </c>
      <c r="D79" s="20" t="inlineStr">
        <is>
          <t>Cycle 1, Lesson 5</t>
        </is>
      </c>
      <c r="E79" s="20" t="inlineStr">
        <is>
          <t>U7 C1L5</t>
        </is>
      </c>
      <c r="F79" s="20" t="inlineStr">
        <is>
          <t>Review the rules for using consistent verb tense when speaking and writing.</t>
        </is>
      </c>
      <c r="G79" s="20" t="inlineStr">
        <is>
          <t>Today, I will review the rules for using consistent verb tense when speaking and writing. I will also demonstrate my ability to write in various forms by beginning to brainstorm and draft the common assessment for this unit.</t>
        </is>
      </c>
      <c r="H79" s="20" t="inlineStr">
        <is>
          <t>9.LU.1.E 9.W.2i, ii, iii</t>
        </is>
      </c>
      <c r="I79" s="20" t="inlineStr">
        <is>
          <t>What factors shape our values and beliefs?</t>
        </is>
      </c>
      <c r="J79" s="20" t="inlineStr">
        <is>
          <t>Slide Deck</t>
        </is>
      </c>
      <c r="K79" s="20" t="inlineStr"/>
      <c r="L79" s="20" t="inlineStr"/>
    </row>
    <row r="80">
      <c r="A80" s="20" t="inlineStr">
        <is>
          <t>U7-C2L1</t>
        </is>
      </c>
      <c r="B80" s="20" t="n">
        <v>7</v>
      </c>
      <c r="C80" s="20" t="inlineStr">
        <is>
          <t>Perspectives &amp; Principles</t>
        </is>
      </c>
      <c r="D80" s="20" t="inlineStr">
        <is>
          <t>Cycle 2, Lesson 1</t>
        </is>
      </c>
      <c r="E80" s="20" t="inlineStr">
        <is>
          <t>U7 C2L1</t>
        </is>
      </c>
      <c r="F80" s="20" t="inlineStr">
        <is>
          <t>Read “The Devil” by Guy de Maupassant to examine the theme of the text and the relationship of characters, setting, and plot.</t>
        </is>
      </c>
      <c r="G80" s="20" t="inlineStr">
        <is>
          <t>Today, I will read “The Devil” by Guy de Maupassant to examine the theme of the text and the relationship of characters, setting, and plot. By the end of class, I will show my understanding by responding to guided reading questions and participating in a silent conversation with my classmates.</t>
        </is>
      </c>
      <c r="H80" s="20" t="inlineStr">
        <is>
          <t>9.DSR.C 9.RL.1.A 9.RL.1.C</t>
        </is>
      </c>
      <c r="I80" s="20" t="inlineStr">
        <is>
          <t>What factors shape our values and beliefs?</t>
        </is>
      </c>
      <c r="J80" s="20" t="inlineStr">
        <is>
          <t>Slide Deck</t>
        </is>
      </c>
      <c r="K80" s="20" t="inlineStr"/>
      <c r="L80" s="20" t="inlineStr"/>
    </row>
    <row r="81">
      <c r="A81" s="20" t="inlineStr">
        <is>
          <t>U7-C2L2</t>
        </is>
      </c>
      <c r="B81" s="20" t="n">
        <v>7</v>
      </c>
      <c r="C81" s="20" t="inlineStr">
        <is>
          <t>Perspectives &amp; Principles</t>
        </is>
      </c>
      <c r="D81" s="20" t="inlineStr">
        <is>
          <t>Cycle 2, Lesson 2</t>
        </is>
      </c>
      <c r="E81" s="20" t="inlineStr">
        <is>
          <t>U7 C2L2</t>
        </is>
      </c>
      <c r="F81" s="20" t="inlineStr">
        <is>
          <t>Complete a mini assessment on “An Uncomfortable Bed” and the pre-writing organizer for my Unit 7 common assessment.</t>
        </is>
      </c>
      <c r="G81" s="20" t="inlineStr">
        <is>
          <t>Today, I will complete a mini assessment on “An Uncomfortable Bed” and the pre-writing organizer for my Unit 7 common assessment. By the end of class, I will show my understanding by responding to multiple choice and short answer questions correctly and completing the pre-writing document for the Common Assessment.</t>
        </is>
      </c>
      <c r="H81" s="20" t="inlineStr">
        <is>
          <t>9.DSR.C 9.RL.1.A 9.RL.1.C 9.W.2.A (i-iv) 9.W.3.A 9.W.3.C 9.LU.1.B 9.LU.1.E</t>
        </is>
      </c>
      <c r="I81" s="20" t="inlineStr">
        <is>
          <t>What factors shape our values and beliefs?</t>
        </is>
      </c>
      <c r="J81" s="20" t="inlineStr">
        <is>
          <t>Slide Deck</t>
        </is>
      </c>
      <c r="K81" s="20" t="inlineStr"/>
      <c r="L81" s="20" t="inlineStr"/>
    </row>
    <row r="82">
      <c r="A82" s="20" t="inlineStr">
        <is>
          <t>U7-C2L3</t>
        </is>
      </c>
      <c r="B82" s="20" t="n">
        <v>7</v>
      </c>
      <c r="C82" s="20" t="inlineStr">
        <is>
          <t>Perspectives &amp; Principles</t>
        </is>
      </c>
      <c r="D82" s="20" t="inlineStr">
        <is>
          <t>Cycle 2, Lesson 3</t>
        </is>
      </c>
      <c r="E82" s="20" t="inlineStr">
        <is>
          <t>U7 C2L3</t>
        </is>
      </c>
      <c r="F82" s="20" t="inlineStr">
        <is>
          <t>Engage in reading, writing, research, and discussion to examine perspectives on technology use.</t>
        </is>
      </c>
      <c r="G82" s="20" t="inlineStr">
        <is>
          <t>Today, I will engage in reading, writing, research, and discussion to examine perspectives on technology use. By the end of class, I’ll be able to participate in station rotations, collaborate with my peers, and complete my exit ticket.</t>
        </is>
      </c>
      <c r="H82" s="20" t="inlineStr">
        <is>
          <t>9.DSR.C 9.RI.1.B 9.RI.3 9.W.2.A (i-v)</t>
        </is>
      </c>
      <c r="I82" s="20" t="inlineStr">
        <is>
          <t>What factors shape our values and beliefs?</t>
        </is>
      </c>
      <c r="J82" s="20" t="inlineStr">
        <is>
          <t>Slide Deck</t>
        </is>
      </c>
      <c r="K82" s="20" t="inlineStr"/>
      <c r="L82" s="20" t="inlineStr"/>
    </row>
    <row r="83">
      <c r="A83" s="20" t="inlineStr">
        <is>
          <t>U1-W1L1+2</t>
        </is>
      </c>
      <c r="B83" s="20" t="n">
        <v>1</v>
      </c>
      <c r="C83" s="20" t="inlineStr">
        <is>
          <t>Unleashing Influence</t>
        </is>
      </c>
      <c r="D83" s="20" t="inlineStr">
        <is>
          <t>Week 1, Lesson 1 + Week 1, Lesson 2</t>
        </is>
      </c>
      <c r="E83" s="20" t="inlineStr">
        <is>
          <t>U1 W1L1+2</t>
        </is>
      </c>
      <c r="F83" s="20" t="inlineStr">
        <is>
          <t>Understand what opportunities I have in high school. + Understand the skills and requirements at each grade level needed to pursue a successful high school career.</t>
        </is>
      </c>
      <c r="G83" s="20" t="inlineStr">
        <is>
          <t>I will be able to understand what opportunities I have in high school. I will learn the criteria for participating in those opportunities.I will know I am successful when I have identified my goals for high school and the path needed to achieve them. | I will be able to understand the skills and requirements at each grade level needed to pursue a successful high school career.</t>
        </is>
      </c>
      <c r="H83" s="20" t="inlineStr">
        <is>
          <t>9.W.1 9.C.1A.i, 9.DSR.A 9.DSR.B 9.RI.1.A 9.C.1A.i</t>
        </is>
      </c>
      <c r="I83" s="20" t="inlineStr">
        <is>
          <t>How does the influence of media, education, and people shape our view of the world and ourselves?</t>
        </is>
      </c>
      <c r="J83" s="20" t="inlineStr">
        <is>
          <t>Slide Deck</t>
        </is>
      </c>
      <c r="K83" s="20" t="inlineStr">
        <is>
          <t>Consider the people, events, and media both inside and outside of school (ex: parent, grandparent, godparent, sibling, teacher, pastor, birth, death, graduation, birthday, anniversary, Instagram, TikTok, Snap Chat, Facebook, television, game, or other social media platforms). Explain how one of those elements, whether positively or negatively, has influenced the way you view yourself or the world. Use personal experiences, elaboration, and details to support your essay.</t>
        </is>
      </c>
      <c r="L83" s="20" t="inlineStr">
        <is>
          <t>Combined to make room for full-day assessments.</t>
        </is>
      </c>
    </row>
    <row r="84">
      <c r="A84" s="20" t="inlineStr">
        <is>
          <t>U2-C2L3+4</t>
        </is>
      </c>
      <c r="B84" s="20" t="n">
        <v>2</v>
      </c>
      <c r="C84" s="20" t="inlineStr">
        <is>
          <t>Challenge Accepted!</t>
        </is>
      </c>
      <c r="D84" s="20" t="inlineStr">
        <is>
          <t>Cycle 2, Lesson 3 + Cycle 2, Lesson 4</t>
        </is>
      </c>
      <c r="E84" s="20" t="inlineStr">
        <is>
          <t>U2 C2L3+4</t>
        </is>
      </c>
      <c r="F84" s="20" t="inlineStr">
        <is>
          <t>Complete my Common Assessment Tracker and review the tenants of the comparison contrast essay in preparation for writing my Unit 2 Common Assessment.</t>
        </is>
      </c>
      <c r="G84" s="20" t="inlineStr">
        <is>
          <t>Today, I will complete my Common Assessment Tracker and review the tenants of the comparison contrast essay in preparation for writing my Unit 2 Common Assessment. I will know I’ve got it when I can use my writing organizer, Common Assessment Tracker, and my notes on writing to develop the thesis statement and introductory paragraph for my common assessment.</t>
        </is>
      </c>
      <c r="H84" s="20" t="inlineStr">
        <is>
          <t>9.RL.1A, 9.RL.1.A, 9.W.1.A.i-iv, 9.W.2.A.i-iv</t>
        </is>
      </c>
      <c r="I84" s="20" t="inlineStr">
        <is>
          <t>How do the challenges of life affect a person?</t>
        </is>
      </c>
      <c r="J84" s="20" t="inlineStr">
        <is>
          <t>Slide Deck</t>
        </is>
      </c>
      <c r="K84" s="20" t="inlineStr"/>
      <c r="L84" s="20" t="inlineStr">
        <is>
          <t>Combined: both lessons have the same learning target.</t>
        </is>
      </c>
    </row>
    <row r="85">
      <c r="A85" s="20" t="inlineStr">
        <is>
          <t>U7-C1L2+3</t>
        </is>
      </c>
      <c r="B85" s="20" t="n">
        <v>7</v>
      </c>
      <c r="C85" s="20" t="inlineStr">
        <is>
          <t>Perspectives &amp; Principles</t>
        </is>
      </c>
      <c r="D85" s="20" t="inlineStr">
        <is>
          <t>Cycle 1, Lesson 2 + Cycle 1, Lesson 3</t>
        </is>
      </c>
      <c r="E85" s="20" t="inlineStr">
        <is>
          <t>U7 C1L2+3</t>
        </is>
      </c>
      <c r="F85" s="20" t="inlineStr">
        <is>
          <t>Read “The Most Dangerous Game” by Richard Connell to examine the theme of this text and the relationship of characters, setting, and plot.</t>
        </is>
      </c>
      <c r="G85" s="20" t="inlineStr">
        <is>
          <t>Today, I will read “The Most Dangerous Game” by Richard Connell to examine the theme of this text and the relationship of characters, setting, and plot. By the end of class, I will show my understanding by participating in class discussions and responding to the guiding questions.</t>
        </is>
      </c>
      <c r="H85" s="20" t="inlineStr">
        <is>
          <t>9.RL.1.A 9.RL.1.C 9.RL.3.B</t>
        </is>
      </c>
      <c r="I85" s="20" t="inlineStr">
        <is>
          <t>What factors shape our values and beliefs?</t>
        </is>
      </c>
      <c r="J85" s="20" t="inlineStr">
        <is>
          <t>Slide Deck</t>
        </is>
      </c>
      <c r="K85" s="20" t="inlineStr"/>
      <c r="L85" s="20" t="inlineStr">
        <is>
          <t>Combined: finish reading “The Most Dangerous Game” in two blocks instead of three.</t>
        </is>
      </c>
    </row>
    <row r="86">
      <c r="A86" s="21" t="inlineStr">
        <is>
          <t>Q1-MQ</t>
        </is>
      </c>
      <c r="B86" s="21" t="inlineStr"/>
      <c r="C86" s="21" t="inlineStr"/>
      <c r="D86" s="21" t="inlineStr">
        <is>
          <t>Assessment (full block)</t>
        </is>
      </c>
      <c r="E86" s="21" t="inlineStr">
        <is>
          <t>Q1 MQ</t>
        </is>
      </c>
      <c r="F86" s="21" t="inlineStr">
        <is>
          <t>Q1 English 9 Mid-Quarter (MQ)</t>
        </is>
      </c>
      <c r="G86" s="21" t="inlineStr"/>
      <c r="H86" s="21" t="inlineStr"/>
      <c r="I86" s="21" t="inlineStr"/>
      <c r="J86" s="21" t="inlineStr"/>
      <c r="K86" s="21" t="inlineStr">
        <is>
          <t>Testing window 09/23/2026 to 10/06/2026</t>
        </is>
      </c>
      <c r="L86" s="21" t="inlineStr"/>
    </row>
    <row r="87">
      <c r="A87" s="21" t="inlineStr">
        <is>
          <t>Q1-BM</t>
        </is>
      </c>
      <c r="B87" s="21" t="inlineStr"/>
      <c r="C87" s="21" t="inlineStr"/>
      <c r="D87" s="21" t="inlineStr">
        <is>
          <t>Assessment (full block)</t>
        </is>
      </c>
      <c r="E87" s="21" t="inlineStr">
        <is>
          <t>Q1 Benchmark</t>
        </is>
      </c>
      <c r="F87" s="21" t="inlineStr">
        <is>
          <t>Q1 English 9 Benchmark</t>
        </is>
      </c>
      <c r="G87" s="21" t="inlineStr"/>
      <c r="H87" s="21" t="inlineStr"/>
      <c r="I87" s="21" t="inlineStr"/>
      <c r="J87" s="21" t="inlineStr"/>
      <c r="K87" s="21" t="inlineStr">
        <is>
          <t>Testing window 10/28/2026 to 11/11/2026</t>
        </is>
      </c>
      <c r="L87" s="21" t="inlineStr"/>
    </row>
    <row r="88">
      <c r="A88" s="21" t="inlineStr">
        <is>
          <t>Q2-MQ</t>
        </is>
      </c>
      <c r="B88" s="21" t="inlineStr"/>
      <c r="C88" s="21" t="inlineStr"/>
      <c r="D88" s="21" t="inlineStr">
        <is>
          <t>Assessment (full block)</t>
        </is>
      </c>
      <c r="E88" s="21" t="inlineStr">
        <is>
          <t>Q2 MQ</t>
        </is>
      </c>
      <c r="F88" s="21" t="inlineStr">
        <is>
          <t>Q2 English 9 Mid-Quarter (MQ)</t>
        </is>
      </c>
      <c r="G88" s="21" t="inlineStr"/>
      <c r="H88" s="21" t="inlineStr"/>
      <c r="I88" s="21" t="inlineStr"/>
      <c r="J88" s="21" t="inlineStr"/>
      <c r="K88" s="21" t="inlineStr">
        <is>
          <t>Testing window 12/07/2026 to 12/18/2026</t>
        </is>
      </c>
      <c r="L88" s="21" t="inlineStr"/>
    </row>
    <row r="89">
      <c r="A89" s="21" t="inlineStr">
        <is>
          <t>Q2-BM</t>
        </is>
      </c>
      <c r="B89" s="21" t="inlineStr"/>
      <c r="C89" s="21" t="inlineStr"/>
      <c r="D89" s="21" t="inlineStr">
        <is>
          <t>Assessment (full block)</t>
        </is>
      </c>
      <c r="E89" s="21" t="inlineStr">
        <is>
          <t>Q2 Benchmark</t>
        </is>
      </c>
      <c r="F89" s="21" t="inlineStr">
        <is>
          <t>Q2 English 9 Benchmark</t>
        </is>
      </c>
      <c r="G89" s="21" t="inlineStr"/>
      <c r="H89" s="21" t="inlineStr"/>
      <c r="I89" s="21" t="inlineStr"/>
      <c r="J89" s="21" t="inlineStr"/>
      <c r="K89" s="21" t="inlineStr">
        <is>
          <t>Testing window 01/19/2027 to 02/03/2027</t>
        </is>
      </c>
      <c r="L89" s="21" t="inlineStr"/>
    </row>
    <row r="90">
      <c r="A90" s="21" t="inlineStr">
        <is>
          <t>LPA</t>
        </is>
      </c>
      <c r="B90" s="21" t="inlineStr"/>
      <c r="C90" s="21" t="inlineStr"/>
      <c r="D90" s="21" t="inlineStr">
        <is>
          <t>Assessment (full block)</t>
        </is>
      </c>
      <c r="E90" s="21" t="inlineStr">
        <is>
          <t>LPA</t>
        </is>
      </c>
      <c r="F90" s="21" t="inlineStr">
        <is>
          <t>LPA (Grades 9-11)</t>
        </is>
      </c>
      <c r="G90" s="21" t="inlineStr"/>
      <c r="H90" s="21" t="inlineStr"/>
      <c r="I90" s="21" t="inlineStr"/>
      <c r="J90" s="21" t="inlineStr"/>
      <c r="K90" s="21" t="inlineStr">
        <is>
          <t>Testing window 02/08/2027 to 02/12/2027</t>
        </is>
      </c>
      <c r="L90" s="21" t="inlineStr"/>
    </row>
    <row r="91">
      <c r="A91" s="21" t="inlineStr">
        <is>
          <t>Q3-MQ</t>
        </is>
      </c>
      <c r="B91" s="21" t="inlineStr"/>
      <c r="C91" s="21" t="inlineStr"/>
      <c r="D91" s="21" t="inlineStr">
        <is>
          <t>Assessment (full block)</t>
        </is>
      </c>
      <c r="E91" s="21" t="inlineStr">
        <is>
          <t>Q3 MQ</t>
        </is>
      </c>
      <c r="F91" s="21" t="inlineStr">
        <is>
          <t>Q3 English 9 Mid-Quarter (MQ)</t>
        </is>
      </c>
      <c r="G91" s="21" t="inlineStr"/>
      <c r="H91" s="21" t="inlineStr"/>
      <c r="I91" s="21" t="inlineStr"/>
      <c r="J91" s="21" t="inlineStr"/>
      <c r="K91" s="21" t="inlineStr">
        <is>
          <t>Testing window 02/24/2027 to 03/09/2027</t>
        </is>
      </c>
      <c r="L91" s="21" t="inlineStr"/>
    </row>
    <row r="92">
      <c r="A92" s="21" t="inlineStr">
        <is>
          <t>Q3-BM</t>
        </is>
      </c>
      <c r="B92" s="21" t="inlineStr"/>
      <c r="C92" s="21" t="inlineStr"/>
      <c r="D92" s="21" t="inlineStr">
        <is>
          <t>Assessment (full block)</t>
        </is>
      </c>
      <c r="E92" s="21" t="inlineStr">
        <is>
          <t>Q3 Benchmark</t>
        </is>
      </c>
      <c r="F92" s="21" t="inlineStr">
        <is>
          <t>Q3 English 9 Benchmark</t>
        </is>
      </c>
      <c r="G92" s="21" t="inlineStr"/>
      <c r="H92" s="21" t="inlineStr"/>
      <c r="I92" s="21" t="inlineStr"/>
      <c r="J92" s="21" t="inlineStr"/>
      <c r="K92" s="21" t="inlineStr">
        <is>
          <t>Testing window 03/29/2027 to 04/19/2027</t>
        </is>
      </c>
      <c r="L92" s="21" t="inlineStr"/>
    </row>
    <row r="93">
      <c r="A93" s="21" t="inlineStr">
        <is>
          <t>Q4-MQ</t>
        </is>
      </c>
      <c r="B93" s="21" t="inlineStr"/>
      <c r="C93" s="21" t="inlineStr"/>
      <c r="D93" s="21" t="inlineStr">
        <is>
          <t>Assessment (full block)</t>
        </is>
      </c>
      <c r="E93" s="21" t="inlineStr">
        <is>
          <t>Q4 MQ</t>
        </is>
      </c>
      <c r="F93" s="21" t="inlineStr">
        <is>
          <t>Q4 English 9 Mid-Quarter (MQ)</t>
        </is>
      </c>
      <c r="G93" s="21" t="inlineStr"/>
      <c r="H93" s="21" t="inlineStr"/>
      <c r="I93" s="21" t="inlineStr"/>
      <c r="J93" s="21" t="inlineStr"/>
      <c r="K93" s="21" t="inlineStr">
        <is>
          <t>Testing window 05/17/2027 to 05/28/2027</t>
        </is>
      </c>
      <c r="L93" s="21" t="inlineStr"/>
    </row>
    <row r="94">
      <c r="A94" s="21" t="inlineStr">
        <is>
          <t>Q4-BM</t>
        </is>
      </c>
      <c r="B94" s="21" t="inlineStr"/>
      <c r="C94" s="21" t="inlineStr"/>
      <c r="D94" s="21" t="inlineStr">
        <is>
          <t>Assessment (full block)</t>
        </is>
      </c>
      <c r="E94" s="21" t="inlineStr">
        <is>
          <t>Q4 Benchmark</t>
        </is>
      </c>
      <c r="F94" s="21" t="inlineStr">
        <is>
          <t>Q4 English 9 Benchmark</t>
        </is>
      </c>
      <c r="G94" s="21" t="inlineStr"/>
      <c r="H94" s="21" t="inlineStr"/>
      <c r="I94" s="21" t="inlineStr"/>
      <c r="J94" s="21" t="inlineStr"/>
      <c r="K94" s="21" t="inlineStr">
        <is>
          <t>Testing window 06/03/2027 to 06/16/2027</t>
        </is>
      </c>
      <c r="L94" s="21" t="inlineStr"/>
    </row>
    <row r="95">
      <c r="A95" s="21" t="inlineStr">
        <is>
          <t>FLEX</t>
        </is>
      </c>
      <c r="B95" s="21" t="inlineStr"/>
      <c r="C95" s="21" t="inlineStr"/>
      <c r="D95" s="21" t="inlineStr">
        <is>
          <t>Flex day</t>
        </is>
      </c>
      <c r="E95" s="21" t="inlineStr">
        <is>
          <t>Flex</t>
        </is>
      </c>
      <c r="F95" s="21" t="inlineStr">
        <is>
          <t>Catch-up, reteach, or review</t>
        </is>
      </c>
      <c r="G95" s="21" t="inlineStr"/>
      <c r="H95" s="21" t="inlineStr"/>
      <c r="I95" s="21" t="inlineStr"/>
      <c r="J95" s="21" t="inlineStr"/>
      <c r="K95" s="21" t="inlineStr"/>
      <c r="L95" s="21" t="inlineStr">
        <is>
          <t>Use for catch-up, a snow day, or extra review.</t>
        </is>
      </c>
    </row>
  </sheetData>
  <autoFilter ref="A1:L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8"/>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8" customWidth="1" min="3" max="3"/>
    <col width="7" customWidth="1" min="4" max="4"/>
    <col width="13" customWidth="1" min="5" max="5"/>
    <col width="22" customWidth="1" min="6" max="6"/>
    <col width="22" customWidth="1" min="7" max="7"/>
    <col width="50" customWidth="1" min="8" max="8"/>
    <col width="24" customWidth="1" min="9" max="9"/>
    <col width="13" customWidth="1" min="10" max="10"/>
    <col width="30" customWidth="1" min="11" max="11"/>
    <col width="30" customWidth="1" min="12" max="12"/>
  </cols>
  <sheetData>
    <row r="1">
      <c r="A1" s="19" t="inlineStr">
        <is>
          <t>Date</t>
        </is>
      </c>
      <c r="B1" s="19" t="inlineStr">
        <is>
          <t>Day</t>
        </is>
      </c>
      <c r="C1" s="19" t="inlineStr">
        <is>
          <t>Quarter</t>
        </is>
      </c>
      <c r="D1" s="19" t="inlineStr">
        <is>
          <t>Class #</t>
        </is>
      </c>
      <c r="E1" s="22" t="inlineStr">
        <is>
          <t>Lesson ID</t>
        </is>
      </c>
      <c r="F1" s="19" t="inlineStr">
        <is>
          <t>Unit</t>
        </is>
      </c>
      <c r="G1" s="19" t="inlineStr">
        <is>
          <t>Lesson</t>
        </is>
      </c>
      <c r="H1" s="19" t="inlineStr">
        <is>
          <t>Lesson focus</t>
        </is>
      </c>
      <c r="I1" s="19" t="inlineStr">
        <is>
          <t>Standards</t>
        </is>
      </c>
      <c r="J1" s="19" t="inlineStr">
        <is>
          <t>Calendar label</t>
        </is>
      </c>
      <c r="K1" s="19" t="inlineStr">
        <is>
          <t>Calendar notes</t>
        </is>
      </c>
      <c r="L1" s="19" t="inlineStr">
        <is>
          <t>My notes</t>
        </is>
      </c>
    </row>
    <row r="2">
      <c r="A2" s="23" t="n">
        <v>46258</v>
      </c>
      <c r="B2" s="20" t="inlineStr">
        <is>
          <t>Mon</t>
        </is>
      </c>
      <c r="C2" s="20" t="inlineStr">
        <is>
          <t>Q1</t>
        </is>
      </c>
      <c r="D2" s="20">
        <f>ROW()-1</f>
        <v/>
      </c>
      <c r="E2" s="24" t="inlineStr">
        <is>
          <t>U1-W1L1+2</t>
        </is>
      </c>
      <c r="F2" s="20">
        <f>IFERROR(VLOOKUP($E2,'Lesson Bank'!$A:$L,3,FALSE)&amp;"","")</f>
        <v/>
      </c>
      <c r="G2" s="20">
        <f>IFERROR(VLOOKUP($E2,'Lesson Bank'!$A:$L,4,FALSE)&amp;"","")</f>
        <v/>
      </c>
      <c r="H2" s="20">
        <f>IFERROR(VLOOKUP($E2,'Lesson Bank'!$A:$L,6,FALSE)&amp;"","")</f>
        <v/>
      </c>
      <c r="I2" s="20">
        <f>IFERROR(VLOOKUP($E2,'Lesson Bank'!$A:$L,8,FALSE)&amp;"","")</f>
        <v/>
      </c>
      <c r="J2" s="20">
        <f>IFERROR(VLOOKUP($E2,'Lesson Bank'!$A:$L,5,FALSE),$E2)</f>
        <v/>
      </c>
      <c r="K2" s="20" t="inlineStr">
        <is>
          <t>First day of school</t>
        </is>
      </c>
      <c r="L2" s="20" t="inlineStr"/>
    </row>
    <row r="3">
      <c r="A3" s="23" t="n">
        <v>46260</v>
      </c>
      <c r="B3" s="20" t="inlineStr">
        <is>
          <t>Wed</t>
        </is>
      </c>
      <c r="C3" s="20" t="inlineStr">
        <is>
          <t>Q1</t>
        </is>
      </c>
      <c r="D3" s="20">
        <f>ROW()-1</f>
        <v/>
      </c>
      <c r="E3" s="24" t="inlineStr">
        <is>
          <t>U1-W2L1</t>
        </is>
      </c>
      <c r="F3" s="20">
        <f>IFERROR(VLOOKUP($E3,'Lesson Bank'!$A:$L,3,FALSE)&amp;"","")</f>
        <v/>
      </c>
      <c r="G3" s="20">
        <f>IFERROR(VLOOKUP($E3,'Lesson Bank'!$A:$L,4,FALSE)&amp;"","")</f>
        <v/>
      </c>
      <c r="H3" s="20">
        <f>IFERROR(VLOOKUP($E3,'Lesson Bank'!$A:$L,6,FALSE)&amp;"","")</f>
        <v/>
      </c>
      <c r="I3" s="20">
        <f>IFERROR(VLOOKUP($E3,'Lesson Bank'!$A:$L,8,FALSE)&amp;"","")</f>
        <v/>
      </c>
      <c r="J3" s="20">
        <f>IFERROR(VLOOKUP($E3,'Lesson Bank'!$A:$L,5,FALSE),$E3)</f>
        <v/>
      </c>
      <c r="K3" s="20" t="inlineStr"/>
      <c r="L3" s="20" t="inlineStr"/>
    </row>
    <row r="4">
      <c r="A4" s="23" t="n">
        <v>46262</v>
      </c>
      <c r="B4" s="20" t="inlineStr">
        <is>
          <t>Fri</t>
        </is>
      </c>
      <c r="C4" s="20" t="inlineStr">
        <is>
          <t>Q1</t>
        </is>
      </c>
      <c r="D4" s="20">
        <f>ROW()-1</f>
        <v/>
      </c>
      <c r="E4" s="24" t="inlineStr">
        <is>
          <t>U1-W2L2</t>
        </is>
      </c>
      <c r="F4" s="20">
        <f>IFERROR(VLOOKUP($E4,'Lesson Bank'!$A:$L,3,FALSE)&amp;"","")</f>
        <v/>
      </c>
      <c r="G4" s="20">
        <f>IFERROR(VLOOKUP($E4,'Lesson Bank'!$A:$L,4,FALSE)&amp;"","")</f>
        <v/>
      </c>
      <c r="H4" s="20">
        <f>IFERROR(VLOOKUP($E4,'Lesson Bank'!$A:$L,6,FALSE)&amp;"","")</f>
        <v/>
      </c>
      <c r="I4" s="20">
        <f>IFERROR(VLOOKUP($E4,'Lesson Bank'!$A:$L,8,FALSE)&amp;"","")</f>
        <v/>
      </c>
      <c r="J4" s="20">
        <f>IFERROR(VLOOKUP($E4,'Lesson Bank'!$A:$L,5,FALSE),$E4)</f>
        <v/>
      </c>
      <c r="K4" s="20" t="inlineStr"/>
      <c r="L4" s="20" t="inlineStr"/>
    </row>
    <row r="5">
      <c r="A5" s="23" t="n">
        <v>46266</v>
      </c>
      <c r="B5" s="20" t="inlineStr">
        <is>
          <t>Tue</t>
        </is>
      </c>
      <c r="C5" s="20" t="inlineStr">
        <is>
          <t>Q1</t>
        </is>
      </c>
      <c r="D5" s="20">
        <f>ROW()-1</f>
        <v/>
      </c>
      <c r="E5" s="24" t="inlineStr">
        <is>
          <t>U1-W2L3</t>
        </is>
      </c>
      <c r="F5" s="20">
        <f>IFERROR(VLOOKUP($E5,'Lesson Bank'!$A:$L,3,FALSE)&amp;"","")</f>
        <v/>
      </c>
      <c r="G5" s="20">
        <f>IFERROR(VLOOKUP($E5,'Lesson Bank'!$A:$L,4,FALSE)&amp;"","")</f>
        <v/>
      </c>
      <c r="H5" s="20">
        <f>IFERROR(VLOOKUP($E5,'Lesson Bank'!$A:$L,6,FALSE)&amp;"","")</f>
        <v/>
      </c>
      <c r="I5" s="20">
        <f>IFERROR(VLOOKUP($E5,'Lesson Bank'!$A:$L,8,FALSE)&amp;"","")</f>
        <v/>
      </c>
      <c r="J5" s="20">
        <f>IFERROR(VLOOKUP($E5,'Lesson Bank'!$A:$L,5,FALSE),$E5)</f>
        <v/>
      </c>
      <c r="K5" s="20" t="inlineStr"/>
      <c r="L5" s="20" t="inlineStr"/>
    </row>
    <row r="6">
      <c r="A6" s="23" t="n">
        <v>46268</v>
      </c>
      <c r="B6" s="20" t="inlineStr">
        <is>
          <t>Thu</t>
        </is>
      </c>
      <c r="C6" s="20" t="inlineStr">
        <is>
          <t>Q1</t>
        </is>
      </c>
      <c r="D6" s="20">
        <f>ROW()-1</f>
        <v/>
      </c>
      <c r="E6" s="24" t="inlineStr">
        <is>
          <t>U1-W3L1</t>
        </is>
      </c>
      <c r="F6" s="20">
        <f>IFERROR(VLOOKUP($E6,'Lesson Bank'!$A:$L,3,FALSE)&amp;"","")</f>
        <v/>
      </c>
      <c r="G6" s="20">
        <f>IFERROR(VLOOKUP($E6,'Lesson Bank'!$A:$L,4,FALSE)&amp;"","")</f>
        <v/>
      </c>
      <c r="H6" s="20">
        <f>IFERROR(VLOOKUP($E6,'Lesson Bank'!$A:$L,6,FALSE)&amp;"","")</f>
        <v/>
      </c>
      <c r="I6" s="20">
        <f>IFERROR(VLOOKUP($E6,'Lesson Bank'!$A:$L,8,FALSE)&amp;"","")</f>
        <v/>
      </c>
      <c r="J6" s="20">
        <f>IFERROR(VLOOKUP($E6,'Lesson Bank'!$A:$L,5,FALSE),$E6)</f>
        <v/>
      </c>
      <c r="K6" s="20" t="inlineStr"/>
      <c r="L6" s="20" t="inlineStr"/>
    </row>
    <row r="7">
      <c r="A7" s="23" t="n">
        <v>46274</v>
      </c>
      <c r="B7" s="20" t="inlineStr">
        <is>
          <t>Wed</t>
        </is>
      </c>
      <c r="C7" s="20" t="inlineStr">
        <is>
          <t>Q1</t>
        </is>
      </c>
      <c r="D7" s="20">
        <f>ROW()-1</f>
        <v/>
      </c>
      <c r="E7" s="24" t="inlineStr">
        <is>
          <t>U1-W3L2</t>
        </is>
      </c>
      <c r="F7" s="20">
        <f>IFERROR(VLOOKUP($E7,'Lesson Bank'!$A:$L,3,FALSE)&amp;"","")</f>
        <v/>
      </c>
      <c r="G7" s="20">
        <f>IFERROR(VLOOKUP($E7,'Lesson Bank'!$A:$L,4,FALSE)&amp;"","")</f>
        <v/>
      </c>
      <c r="H7" s="20">
        <f>IFERROR(VLOOKUP($E7,'Lesson Bank'!$A:$L,6,FALSE)&amp;"","")</f>
        <v/>
      </c>
      <c r="I7" s="20">
        <f>IFERROR(VLOOKUP($E7,'Lesson Bank'!$A:$L,8,FALSE)&amp;"","")</f>
        <v/>
      </c>
      <c r="J7" s="20">
        <f>IFERROR(VLOOKUP($E7,'Lesson Bank'!$A:$L,5,FALSE),$E7)</f>
        <v/>
      </c>
      <c r="K7" s="20" t="inlineStr"/>
      <c r="L7" s="20" t="inlineStr"/>
    </row>
    <row r="8">
      <c r="A8" s="23" t="n">
        <v>46276</v>
      </c>
      <c r="B8" s="20" t="inlineStr">
        <is>
          <t>Fri</t>
        </is>
      </c>
      <c r="C8" s="20" t="inlineStr">
        <is>
          <t>Q1</t>
        </is>
      </c>
      <c r="D8" s="20">
        <f>ROW()-1</f>
        <v/>
      </c>
      <c r="E8" s="24" t="inlineStr">
        <is>
          <t>U1-W4L1</t>
        </is>
      </c>
      <c r="F8" s="20">
        <f>IFERROR(VLOOKUP($E8,'Lesson Bank'!$A:$L,3,FALSE)&amp;"","")</f>
        <v/>
      </c>
      <c r="G8" s="20">
        <f>IFERROR(VLOOKUP($E8,'Lesson Bank'!$A:$L,4,FALSE)&amp;"","")</f>
        <v/>
      </c>
      <c r="H8" s="20">
        <f>IFERROR(VLOOKUP($E8,'Lesson Bank'!$A:$L,6,FALSE)&amp;"","")</f>
        <v/>
      </c>
      <c r="I8" s="20">
        <f>IFERROR(VLOOKUP($E8,'Lesson Bank'!$A:$L,8,FALSE)&amp;"","")</f>
        <v/>
      </c>
      <c r="J8" s="20">
        <f>IFERROR(VLOOKUP($E8,'Lesson Bank'!$A:$L,5,FALSE),$E8)</f>
        <v/>
      </c>
      <c r="K8" s="20" t="inlineStr"/>
      <c r="L8" s="20" t="inlineStr"/>
    </row>
    <row r="9">
      <c r="A9" s="23" t="n">
        <v>46280</v>
      </c>
      <c r="B9" s="20" t="inlineStr">
        <is>
          <t>Tue</t>
        </is>
      </c>
      <c r="C9" s="20" t="inlineStr">
        <is>
          <t>Q1</t>
        </is>
      </c>
      <c r="D9" s="20">
        <f>ROW()-1</f>
        <v/>
      </c>
      <c r="E9" s="24" t="inlineStr">
        <is>
          <t>U1-W4L2</t>
        </is>
      </c>
      <c r="F9" s="20">
        <f>IFERROR(VLOOKUP($E9,'Lesson Bank'!$A:$L,3,FALSE)&amp;"","")</f>
        <v/>
      </c>
      <c r="G9" s="20">
        <f>IFERROR(VLOOKUP($E9,'Lesson Bank'!$A:$L,4,FALSE)&amp;"","")</f>
        <v/>
      </c>
      <c r="H9" s="20">
        <f>IFERROR(VLOOKUP($E9,'Lesson Bank'!$A:$L,6,FALSE)&amp;"","")</f>
        <v/>
      </c>
      <c r="I9" s="20">
        <f>IFERROR(VLOOKUP($E9,'Lesson Bank'!$A:$L,8,FALSE)&amp;"","")</f>
        <v/>
      </c>
      <c r="J9" s="20">
        <f>IFERROR(VLOOKUP($E9,'Lesson Bank'!$A:$L,5,FALSE),$E9)</f>
        <v/>
      </c>
      <c r="K9" s="20" t="inlineStr"/>
      <c r="L9" s="20" t="inlineStr"/>
    </row>
    <row r="10">
      <c r="A10" s="23" t="n">
        <v>46282</v>
      </c>
      <c r="B10" s="20" t="inlineStr">
        <is>
          <t>Thu</t>
        </is>
      </c>
      <c r="C10" s="20" t="inlineStr">
        <is>
          <t>Q1</t>
        </is>
      </c>
      <c r="D10" s="20">
        <f>ROW()-1</f>
        <v/>
      </c>
      <c r="E10" s="24" t="inlineStr">
        <is>
          <t>U1-W4L3</t>
        </is>
      </c>
      <c r="F10" s="20">
        <f>IFERROR(VLOOKUP($E10,'Lesson Bank'!$A:$L,3,FALSE)&amp;"","")</f>
        <v/>
      </c>
      <c r="G10" s="20">
        <f>IFERROR(VLOOKUP($E10,'Lesson Bank'!$A:$L,4,FALSE)&amp;"","")</f>
        <v/>
      </c>
      <c r="H10" s="20">
        <f>IFERROR(VLOOKUP($E10,'Lesson Bank'!$A:$L,6,FALSE)&amp;"","")</f>
        <v/>
      </c>
      <c r="I10" s="20">
        <f>IFERROR(VLOOKUP($E10,'Lesson Bank'!$A:$L,8,FALSE)&amp;"","")</f>
        <v/>
      </c>
      <c r="J10" s="20">
        <f>IFERROR(VLOOKUP($E10,'Lesson Bank'!$A:$L,5,FALSE),$E10)</f>
        <v/>
      </c>
      <c r="K10" s="20" t="inlineStr"/>
      <c r="L10" s="20" t="inlineStr"/>
    </row>
    <row r="11">
      <c r="A11" s="23" t="n">
        <v>46286</v>
      </c>
      <c r="B11" s="20" t="inlineStr">
        <is>
          <t>Mon</t>
        </is>
      </c>
      <c r="C11" s="20" t="inlineStr">
        <is>
          <t>Q1</t>
        </is>
      </c>
      <c r="D11" s="20">
        <f>ROW()-1</f>
        <v/>
      </c>
      <c r="E11" s="24" t="inlineStr">
        <is>
          <t>U1-W5L1</t>
        </is>
      </c>
      <c r="F11" s="20">
        <f>IFERROR(VLOOKUP($E11,'Lesson Bank'!$A:$L,3,FALSE)&amp;"","")</f>
        <v/>
      </c>
      <c r="G11" s="20">
        <f>IFERROR(VLOOKUP($E11,'Lesson Bank'!$A:$L,4,FALSE)&amp;"","")</f>
        <v/>
      </c>
      <c r="H11" s="20">
        <f>IFERROR(VLOOKUP($E11,'Lesson Bank'!$A:$L,6,FALSE)&amp;"","")</f>
        <v/>
      </c>
      <c r="I11" s="20">
        <f>IFERROR(VLOOKUP($E11,'Lesson Bank'!$A:$L,8,FALSE)&amp;"","")</f>
        <v/>
      </c>
      <c r="J11" s="20">
        <f>IFERROR(VLOOKUP($E11,'Lesson Bank'!$A:$L,5,FALSE),$E11)</f>
        <v/>
      </c>
      <c r="K11" s="20" t="inlineStr"/>
      <c r="L11" s="20" t="inlineStr"/>
    </row>
    <row r="12">
      <c r="A12" s="23" t="n">
        <v>46288</v>
      </c>
      <c r="B12" s="20" t="inlineStr">
        <is>
          <t>Wed</t>
        </is>
      </c>
      <c r="C12" s="20" t="inlineStr">
        <is>
          <t>Q1</t>
        </is>
      </c>
      <c r="D12" s="20">
        <f>ROW()-1</f>
        <v/>
      </c>
      <c r="E12" s="24" t="inlineStr">
        <is>
          <t>Q1-MQ</t>
        </is>
      </c>
      <c r="F12" s="20">
        <f>IFERROR(VLOOKUP($E12,'Lesson Bank'!$A:$L,3,FALSE)&amp;"","")</f>
        <v/>
      </c>
      <c r="G12" s="20">
        <f>IFERROR(VLOOKUP($E12,'Lesson Bank'!$A:$L,4,FALSE)&amp;"","")</f>
        <v/>
      </c>
      <c r="H12" s="20">
        <f>IFERROR(VLOOKUP($E12,'Lesson Bank'!$A:$L,6,FALSE)&amp;"","")</f>
        <v/>
      </c>
      <c r="I12" s="20">
        <f>IFERROR(VLOOKUP($E12,'Lesson Bank'!$A:$L,8,FALSE)&amp;"","")</f>
        <v/>
      </c>
      <c r="J12" s="20">
        <f>IFERROR(VLOOKUP($E12,'Lesson Bank'!$A:$L,5,FALSE),$E12)</f>
        <v/>
      </c>
      <c r="K12" s="20" t="inlineStr"/>
      <c r="L12" s="20" t="inlineStr"/>
    </row>
    <row r="13">
      <c r="A13" s="23" t="n">
        <v>46290</v>
      </c>
      <c r="B13" s="20" t="inlineStr">
        <is>
          <t>Fri</t>
        </is>
      </c>
      <c r="C13" s="20" t="inlineStr">
        <is>
          <t>Q1</t>
        </is>
      </c>
      <c r="D13" s="20">
        <f>ROW()-1</f>
        <v/>
      </c>
      <c r="E13" s="24" t="inlineStr">
        <is>
          <t>U1-W5L2</t>
        </is>
      </c>
      <c r="F13" s="20">
        <f>IFERROR(VLOOKUP($E13,'Lesson Bank'!$A:$L,3,FALSE)&amp;"","")</f>
        <v/>
      </c>
      <c r="G13" s="20">
        <f>IFERROR(VLOOKUP($E13,'Lesson Bank'!$A:$L,4,FALSE)&amp;"","")</f>
        <v/>
      </c>
      <c r="H13" s="20">
        <f>IFERROR(VLOOKUP($E13,'Lesson Bank'!$A:$L,6,FALSE)&amp;"","")</f>
        <v/>
      </c>
      <c r="I13" s="20">
        <f>IFERROR(VLOOKUP($E13,'Lesson Bank'!$A:$L,8,FALSE)&amp;"","")</f>
        <v/>
      </c>
      <c r="J13" s="20">
        <f>IFERROR(VLOOKUP($E13,'Lesson Bank'!$A:$L,5,FALSE),$E13)</f>
        <v/>
      </c>
      <c r="K13" s="20" t="inlineStr"/>
      <c r="L13" s="20" t="inlineStr"/>
    </row>
    <row r="14">
      <c r="A14" s="23" t="n">
        <v>46294</v>
      </c>
      <c r="B14" s="20" t="inlineStr">
        <is>
          <t>Tue</t>
        </is>
      </c>
      <c r="C14" s="20" t="inlineStr">
        <is>
          <t>Q1</t>
        </is>
      </c>
      <c r="D14" s="20">
        <f>ROW()-1</f>
        <v/>
      </c>
      <c r="E14" s="24" t="inlineStr">
        <is>
          <t>U2-C1L1</t>
        </is>
      </c>
      <c r="F14" s="20">
        <f>IFERROR(VLOOKUP($E14,'Lesson Bank'!$A:$L,3,FALSE)&amp;"","")</f>
        <v/>
      </c>
      <c r="G14" s="20">
        <f>IFERROR(VLOOKUP($E14,'Lesson Bank'!$A:$L,4,FALSE)&amp;"","")</f>
        <v/>
      </c>
      <c r="H14" s="20">
        <f>IFERROR(VLOOKUP($E14,'Lesson Bank'!$A:$L,6,FALSE)&amp;"","")</f>
        <v/>
      </c>
      <c r="I14" s="20">
        <f>IFERROR(VLOOKUP($E14,'Lesson Bank'!$A:$L,8,FALSE)&amp;"","")</f>
        <v/>
      </c>
      <c r="J14" s="20">
        <f>IFERROR(VLOOKUP($E14,'Lesson Bank'!$A:$L,5,FALSE),$E14)</f>
        <v/>
      </c>
      <c r="K14" s="20" t="inlineStr"/>
      <c r="L14" s="20" t="inlineStr"/>
    </row>
    <row r="15">
      <c r="A15" s="23" t="n">
        <v>46296</v>
      </c>
      <c r="B15" s="20" t="inlineStr">
        <is>
          <t>Thu</t>
        </is>
      </c>
      <c r="C15" s="20" t="inlineStr">
        <is>
          <t>Q1</t>
        </is>
      </c>
      <c r="D15" s="20">
        <f>ROW()-1</f>
        <v/>
      </c>
      <c r="E15" s="24" t="inlineStr">
        <is>
          <t>U2-C1L2</t>
        </is>
      </c>
      <c r="F15" s="20">
        <f>IFERROR(VLOOKUP($E15,'Lesson Bank'!$A:$L,3,FALSE)&amp;"","")</f>
        <v/>
      </c>
      <c r="G15" s="20">
        <f>IFERROR(VLOOKUP($E15,'Lesson Bank'!$A:$L,4,FALSE)&amp;"","")</f>
        <v/>
      </c>
      <c r="H15" s="20">
        <f>IFERROR(VLOOKUP($E15,'Lesson Bank'!$A:$L,6,FALSE)&amp;"","")</f>
        <v/>
      </c>
      <c r="I15" s="20">
        <f>IFERROR(VLOOKUP($E15,'Lesson Bank'!$A:$L,8,FALSE)&amp;"","")</f>
        <v/>
      </c>
      <c r="J15" s="20">
        <f>IFERROR(VLOOKUP($E15,'Lesson Bank'!$A:$L,5,FALSE),$E15)</f>
        <v/>
      </c>
      <c r="K15" s="20" t="inlineStr"/>
      <c r="L15" s="20" t="inlineStr"/>
    </row>
    <row r="16">
      <c r="A16" s="23" t="n">
        <v>46300</v>
      </c>
      <c r="B16" s="20" t="inlineStr">
        <is>
          <t>Mon</t>
        </is>
      </c>
      <c r="C16" s="20" t="inlineStr">
        <is>
          <t>Q1</t>
        </is>
      </c>
      <c r="D16" s="20">
        <f>ROW()-1</f>
        <v/>
      </c>
      <c r="E16" s="24" t="inlineStr">
        <is>
          <t>U2-C1L3</t>
        </is>
      </c>
      <c r="F16" s="20">
        <f>IFERROR(VLOOKUP($E16,'Lesson Bank'!$A:$L,3,FALSE)&amp;"","")</f>
        <v/>
      </c>
      <c r="G16" s="20">
        <f>IFERROR(VLOOKUP($E16,'Lesson Bank'!$A:$L,4,FALSE)&amp;"","")</f>
        <v/>
      </c>
      <c r="H16" s="20">
        <f>IFERROR(VLOOKUP($E16,'Lesson Bank'!$A:$L,6,FALSE)&amp;"","")</f>
        <v/>
      </c>
      <c r="I16" s="20">
        <f>IFERROR(VLOOKUP($E16,'Lesson Bank'!$A:$L,8,FALSE)&amp;"","")</f>
        <v/>
      </c>
      <c r="J16" s="20">
        <f>IFERROR(VLOOKUP($E16,'Lesson Bank'!$A:$L,5,FALSE),$E16)</f>
        <v/>
      </c>
      <c r="K16" s="20" t="inlineStr"/>
      <c r="L16" s="20" t="inlineStr"/>
    </row>
    <row r="17">
      <c r="A17" s="23" t="n">
        <v>46302</v>
      </c>
      <c r="B17" s="20" t="inlineStr">
        <is>
          <t>Wed</t>
        </is>
      </c>
      <c r="C17" s="20" t="inlineStr">
        <is>
          <t>Q1</t>
        </is>
      </c>
      <c r="D17" s="20">
        <f>ROW()-1</f>
        <v/>
      </c>
      <c r="E17" s="24" t="inlineStr">
        <is>
          <t>U2-C1L4</t>
        </is>
      </c>
      <c r="F17" s="20">
        <f>IFERROR(VLOOKUP($E17,'Lesson Bank'!$A:$L,3,FALSE)&amp;"","")</f>
        <v/>
      </c>
      <c r="G17" s="20">
        <f>IFERROR(VLOOKUP($E17,'Lesson Bank'!$A:$L,4,FALSE)&amp;"","")</f>
        <v/>
      </c>
      <c r="H17" s="20">
        <f>IFERROR(VLOOKUP($E17,'Lesson Bank'!$A:$L,6,FALSE)&amp;"","")</f>
        <v/>
      </c>
      <c r="I17" s="20">
        <f>IFERROR(VLOOKUP($E17,'Lesson Bank'!$A:$L,8,FALSE)&amp;"","")</f>
        <v/>
      </c>
      <c r="J17" s="20">
        <f>IFERROR(VLOOKUP($E17,'Lesson Bank'!$A:$L,5,FALSE),$E17)</f>
        <v/>
      </c>
      <c r="K17" s="20" t="inlineStr"/>
      <c r="L17" s="20" t="inlineStr"/>
    </row>
    <row r="18">
      <c r="A18" s="23" t="n">
        <v>46304</v>
      </c>
      <c r="B18" s="20" t="inlineStr">
        <is>
          <t>Fri</t>
        </is>
      </c>
      <c r="C18" s="20" t="inlineStr">
        <is>
          <t>Q1</t>
        </is>
      </c>
      <c r="D18" s="20">
        <f>ROW()-1</f>
        <v/>
      </c>
      <c r="E18" s="24" t="inlineStr">
        <is>
          <t>U2-C1L5</t>
        </is>
      </c>
      <c r="F18" s="20">
        <f>IFERROR(VLOOKUP($E18,'Lesson Bank'!$A:$L,3,FALSE)&amp;"","")</f>
        <v/>
      </c>
      <c r="G18" s="20">
        <f>IFERROR(VLOOKUP($E18,'Lesson Bank'!$A:$L,4,FALSE)&amp;"","")</f>
        <v/>
      </c>
      <c r="H18" s="20">
        <f>IFERROR(VLOOKUP($E18,'Lesson Bank'!$A:$L,6,FALSE)&amp;"","")</f>
        <v/>
      </c>
      <c r="I18" s="20">
        <f>IFERROR(VLOOKUP($E18,'Lesson Bank'!$A:$L,8,FALSE)&amp;"","")</f>
        <v/>
      </c>
      <c r="J18" s="20">
        <f>IFERROR(VLOOKUP($E18,'Lesson Bank'!$A:$L,5,FALSE),$E18)</f>
        <v/>
      </c>
      <c r="K18" s="20" t="inlineStr"/>
      <c r="L18" s="20" t="inlineStr"/>
    </row>
    <row r="19">
      <c r="A19" s="23" t="n">
        <v>46308</v>
      </c>
      <c r="B19" s="20" t="inlineStr">
        <is>
          <t>Tue</t>
        </is>
      </c>
      <c r="C19" s="20" t="inlineStr">
        <is>
          <t>Q1</t>
        </is>
      </c>
      <c r="D19" s="20">
        <f>ROW()-1</f>
        <v/>
      </c>
      <c r="E19" s="24" t="inlineStr">
        <is>
          <t>U2-C2L1</t>
        </is>
      </c>
      <c r="F19" s="20">
        <f>IFERROR(VLOOKUP($E19,'Lesson Bank'!$A:$L,3,FALSE)&amp;"","")</f>
        <v/>
      </c>
      <c r="G19" s="20">
        <f>IFERROR(VLOOKUP($E19,'Lesson Bank'!$A:$L,4,FALSE)&amp;"","")</f>
        <v/>
      </c>
      <c r="H19" s="20">
        <f>IFERROR(VLOOKUP($E19,'Lesson Bank'!$A:$L,6,FALSE)&amp;"","")</f>
        <v/>
      </c>
      <c r="I19" s="20">
        <f>IFERROR(VLOOKUP($E19,'Lesson Bank'!$A:$L,8,FALSE)&amp;"","")</f>
        <v/>
      </c>
      <c r="J19" s="20">
        <f>IFERROR(VLOOKUP($E19,'Lesson Bank'!$A:$L,5,FALSE),$E19)</f>
        <v/>
      </c>
      <c r="K19" s="20" t="inlineStr"/>
      <c r="L19" s="20" t="inlineStr"/>
    </row>
    <row r="20">
      <c r="A20" s="23" t="n">
        <v>46310</v>
      </c>
      <c r="B20" s="20" t="inlineStr">
        <is>
          <t>Thu</t>
        </is>
      </c>
      <c r="C20" s="20" t="inlineStr">
        <is>
          <t>Q1</t>
        </is>
      </c>
      <c r="D20" s="20">
        <f>ROW()-1</f>
        <v/>
      </c>
      <c r="E20" s="24" t="inlineStr">
        <is>
          <t>U2-C2L2</t>
        </is>
      </c>
      <c r="F20" s="20">
        <f>IFERROR(VLOOKUP($E20,'Lesson Bank'!$A:$L,3,FALSE)&amp;"","")</f>
        <v/>
      </c>
      <c r="G20" s="20">
        <f>IFERROR(VLOOKUP($E20,'Lesson Bank'!$A:$L,4,FALSE)&amp;"","")</f>
        <v/>
      </c>
      <c r="H20" s="20">
        <f>IFERROR(VLOOKUP($E20,'Lesson Bank'!$A:$L,6,FALSE)&amp;"","")</f>
        <v/>
      </c>
      <c r="I20" s="20">
        <f>IFERROR(VLOOKUP($E20,'Lesson Bank'!$A:$L,8,FALSE)&amp;"","")</f>
        <v/>
      </c>
      <c r="J20" s="20">
        <f>IFERROR(VLOOKUP($E20,'Lesson Bank'!$A:$L,5,FALSE),$E20)</f>
        <v/>
      </c>
      <c r="K20" s="20" t="inlineStr"/>
      <c r="L20" s="20" t="inlineStr"/>
    </row>
    <row r="21">
      <c r="A21" s="23" t="n">
        <v>46315</v>
      </c>
      <c r="B21" s="20" t="inlineStr">
        <is>
          <t>Tue</t>
        </is>
      </c>
      <c r="C21" s="20" t="inlineStr">
        <is>
          <t>Q1</t>
        </is>
      </c>
      <c r="D21" s="20">
        <f>ROW()-1</f>
        <v/>
      </c>
      <c r="E21" s="24" t="inlineStr">
        <is>
          <t>U2-C2L3+4</t>
        </is>
      </c>
      <c r="F21" s="20">
        <f>IFERROR(VLOOKUP($E21,'Lesson Bank'!$A:$L,3,FALSE)&amp;"","")</f>
        <v/>
      </c>
      <c r="G21" s="20">
        <f>IFERROR(VLOOKUP($E21,'Lesson Bank'!$A:$L,4,FALSE)&amp;"","")</f>
        <v/>
      </c>
      <c r="H21" s="20">
        <f>IFERROR(VLOOKUP($E21,'Lesson Bank'!$A:$L,6,FALSE)&amp;"","")</f>
        <v/>
      </c>
      <c r="I21" s="20">
        <f>IFERROR(VLOOKUP($E21,'Lesson Bank'!$A:$L,8,FALSE)&amp;"","")</f>
        <v/>
      </c>
      <c r="J21" s="20">
        <f>IFERROR(VLOOKUP($E21,'Lesson Bank'!$A:$L,5,FALSE),$E21)</f>
        <v/>
      </c>
      <c r="K21" s="20" t="inlineStr"/>
      <c r="L21" s="20" t="inlineStr"/>
    </row>
    <row r="22">
      <c r="A22" s="23" t="n">
        <v>46317</v>
      </c>
      <c r="B22" s="20" t="inlineStr">
        <is>
          <t>Thu</t>
        </is>
      </c>
      <c r="C22" s="20" t="inlineStr">
        <is>
          <t>Q1</t>
        </is>
      </c>
      <c r="D22" s="20">
        <f>ROW()-1</f>
        <v/>
      </c>
      <c r="E22" s="24" t="inlineStr">
        <is>
          <t>U2-C2L5</t>
        </is>
      </c>
      <c r="F22" s="20">
        <f>IFERROR(VLOOKUP($E22,'Lesson Bank'!$A:$L,3,FALSE)&amp;"","")</f>
        <v/>
      </c>
      <c r="G22" s="20">
        <f>IFERROR(VLOOKUP($E22,'Lesson Bank'!$A:$L,4,FALSE)&amp;"","")</f>
        <v/>
      </c>
      <c r="H22" s="20">
        <f>IFERROR(VLOOKUP($E22,'Lesson Bank'!$A:$L,6,FALSE)&amp;"","")</f>
        <v/>
      </c>
      <c r="I22" s="20">
        <f>IFERROR(VLOOKUP($E22,'Lesson Bank'!$A:$L,8,FALSE)&amp;"","")</f>
        <v/>
      </c>
      <c r="J22" s="20">
        <f>IFERROR(VLOOKUP($E22,'Lesson Bank'!$A:$L,5,FALSE),$E22)</f>
        <v/>
      </c>
      <c r="K22" s="20" t="inlineStr"/>
      <c r="L22" s="20" t="inlineStr"/>
    </row>
    <row r="23">
      <c r="A23" s="23" t="n">
        <v>46321</v>
      </c>
      <c r="B23" s="20" t="inlineStr">
        <is>
          <t>Mon</t>
        </is>
      </c>
      <c r="C23" s="20" t="inlineStr">
        <is>
          <t>Q1</t>
        </is>
      </c>
      <c r="D23" s="20">
        <f>ROW()-1</f>
        <v/>
      </c>
      <c r="E23" s="24" t="inlineStr">
        <is>
          <t>U2-C3L1</t>
        </is>
      </c>
      <c r="F23" s="20">
        <f>IFERROR(VLOOKUP($E23,'Lesson Bank'!$A:$L,3,FALSE)&amp;"","")</f>
        <v/>
      </c>
      <c r="G23" s="20">
        <f>IFERROR(VLOOKUP($E23,'Lesson Bank'!$A:$L,4,FALSE)&amp;"","")</f>
        <v/>
      </c>
      <c r="H23" s="20">
        <f>IFERROR(VLOOKUP($E23,'Lesson Bank'!$A:$L,6,FALSE)&amp;"","")</f>
        <v/>
      </c>
      <c r="I23" s="20">
        <f>IFERROR(VLOOKUP($E23,'Lesson Bank'!$A:$L,8,FALSE)&amp;"","")</f>
        <v/>
      </c>
      <c r="J23" s="20">
        <f>IFERROR(VLOOKUP($E23,'Lesson Bank'!$A:$L,5,FALSE),$E23)</f>
        <v/>
      </c>
      <c r="K23" s="20" t="inlineStr"/>
      <c r="L23" s="20" t="inlineStr"/>
    </row>
    <row r="24">
      <c r="A24" s="23" t="n">
        <v>46323</v>
      </c>
      <c r="B24" s="20" t="inlineStr">
        <is>
          <t>Wed</t>
        </is>
      </c>
      <c r="C24" s="20" t="inlineStr">
        <is>
          <t>Q1</t>
        </is>
      </c>
      <c r="D24" s="20">
        <f>ROW()-1</f>
        <v/>
      </c>
      <c r="E24" s="24" t="inlineStr">
        <is>
          <t>Q1-BM</t>
        </is>
      </c>
      <c r="F24" s="20">
        <f>IFERROR(VLOOKUP($E24,'Lesson Bank'!$A:$L,3,FALSE)&amp;"","")</f>
        <v/>
      </c>
      <c r="G24" s="20">
        <f>IFERROR(VLOOKUP($E24,'Lesson Bank'!$A:$L,4,FALSE)&amp;"","")</f>
        <v/>
      </c>
      <c r="H24" s="20">
        <f>IFERROR(VLOOKUP($E24,'Lesson Bank'!$A:$L,6,FALSE)&amp;"","")</f>
        <v/>
      </c>
      <c r="I24" s="20">
        <f>IFERROR(VLOOKUP($E24,'Lesson Bank'!$A:$L,8,FALSE)&amp;"","")</f>
        <v/>
      </c>
      <c r="J24" s="20">
        <f>IFERROR(VLOOKUP($E24,'Lesson Bank'!$A:$L,5,FALSE),$E24)</f>
        <v/>
      </c>
      <c r="K24" s="20" t="inlineStr"/>
      <c r="L24" s="20" t="inlineStr"/>
    </row>
    <row r="25">
      <c r="A25" s="23" t="n">
        <v>46325</v>
      </c>
      <c r="B25" s="20" t="inlineStr">
        <is>
          <t>Fri</t>
        </is>
      </c>
      <c r="C25" s="20" t="inlineStr">
        <is>
          <t>Q1</t>
        </is>
      </c>
      <c r="D25" s="20">
        <f>ROW()-1</f>
        <v/>
      </c>
      <c r="E25" s="24" t="inlineStr">
        <is>
          <t>U3-C1L1</t>
        </is>
      </c>
      <c r="F25" s="20">
        <f>IFERROR(VLOOKUP($E25,'Lesson Bank'!$A:$L,3,FALSE)&amp;"","")</f>
        <v/>
      </c>
      <c r="G25" s="20">
        <f>IFERROR(VLOOKUP($E25,'Lesson Bank'!$A:$L,4,FALSE)&amp;"","")</f>
        <v/>
      </c>
      <c r="H25" s="20">
        <f>IFERROR(VLOOKUP($E25,'Lesson Bank'!$A:$L,6,FALSE)&amp;"","")</f>
        <v/>
      </c>
      <c r="I25" s="20">
        <f>IFERROR(VLOOKUP($E25,'Lesson Bank'!$A:$L,8,FALSE)&amp;"","")</f>
        <v/>
      </c>
      <c r="J25" s="20">
        <f>IFERROR(VLOOKUP($E25,'Lesson Bank'!$A:$L,5,FALSE),$E25)</f>
        <v/>
      </c>
      <c r="K25" s="20" t="inlineStr"/>
      <c r="L25" s="20" t="inlineStr"/>
    </row>
    <row r="26">
      <c r="A26" s="23" t="n">
        <v>46330</v>
      </c>
      <c r="B26" s="20" t="inlineStr">
        <is>
          <t>Wed</t>
        </is>
      </c>
      <c r="C26" s="20" t="inlineStr">
        <is>
          <t>Q2</t>
        </is>
      </c>
      <c r="D26" s="20">
        <f>ROW()-1</f>
        <v/>
      </c>
      <c r="E26" s="24" t="inlineStr">
        <is>
          <t>U3-C1L2</t>
        </is>
      </c>
      <c r="F26" s="20">
        <f>IFERROR(VLOOKUP($E26,'Lesson Bank'!$A:$L,3,FALSE)&amp;"","")</f>
        <v/>
      </c>
      <c r="G26" s="20">
        <f>IFERROR(VLOOKUP($E26,'Lesson Bank'!$A:$L,4,FALSE)&amp;"","")</f>
        <v/>
      </c>
      <c r="H26" s="20">
        <f>IFERROR(VLOOKUP($E26,'Lesson Bank'!$A:$L,6,FALSE)&amp;"","")</f>
        <v/>
      </c>
      <c r="I26" s="20">
        <f>IFERROR(VLOOKUP($E26,'Lesson Bank'!$A:$L,8,FALSE)&amp;"","")</f>
        <v/>
      </c>
      <c r="J26" s="20">
        <f>IFERROR(VLOOKUP($E26,'Lesson Bank'!$A:$L,5,FALSE),$E26)</f>
        <v/>
      </c>
      <c r="K26" s="20" t="inlineStr"/>
      <c r="L26" s="20" t="inlineStr"/>
    </row>
    <row r="27">
      <c r="A27" s="23" t="n">
        <v>46332</v>
      </c>
      <c r="B27" s="20" t="inlineStr">
        <is>
          <t>Fri</t>
        </is>
      </c>
      <c r="C27" s="20" t="inlineStr">
        <is>
          <t>Q2</t>
        </is>
      </c>
      <c r="D27" s="20">
        <f>ROW()-1</f>
        <v/>
      </c>
      <c r="E27" s="24" t="inlineStr">
        <is>
          <t>U3-C1L3</t>
        </is>
      </c>
      <c r="F27" s="20">
        <f>IFERROR(VLOOKUP($E27,'Lesson Bank'!$A:$L,3,FALSE)&amp;"","")</f>
        <v/>
      </c>
      <c r="G27" s="20">
        <f>IFERROR(VLOOKUP($E27,'Lesson Bank'!$A:$L,4,FALSE)&amp;"","")</f>
        <v/>
      </c>
      <c r="H27" s="20">
        <f>IFERROR(VLOOKUP($E27,'Lesson Bank'!$A:$L,6,FALSE)&amp;"","")</f>
        <v/>
      </c>
      <c r="I27" s="20">
        <f>IFERROR(VLOOKUP($E27,'Lesson Bank'!$A:$L,8,FALSE)&amp;"","")</f>
        <v/>
      </c>
      <c r="J27" s="20">
        <f>IFERROR(VLOOKUP($E27,'Lesson Bank'!$A:$L,5,FALSE),$E27)</f>
        <v/>
      </c>
      <c r="K27" s="20" t="inlineStr"/>
      <c r="L27" s="20" t="inlineStr"/>
    </row>
    <row r="28">
      <c r="A28" s="23" t="n">
        <v>46336</v>
      </c>
      <c r="B28" s="20" t="inlineStr">
        <is>
          <t>Tue</t>
        </is>
      </c>
      <c r="C28" s="20" t="inlineStr">
        <is>
          <t>Q2</t>
        </is>
      </c>
      <c r="D28" s="20">
        <f>ROW()-1</f>
        <v/>
      </c>
      <c r="E28" s="24" t="inlineStr">
        <is>
          <t>U3-C1L4</t>
        </is>
      </c>
      <c r="F28" s="20">
        <f>IFERROR(VLOOKUP($E28,'Lesson Bank'!$A:$L,3,FALSE)&amp;"","")</f>
        <v/>
      </c>
      <c r="G28" s="20">
        <f>IFERROR(VLOOKUP($E28,'Lesson Bank'!$A:$L,4,FALSE)&amp;"","")</f>
        <v/>
      </c>
      <c r="H28" s="20">
        <f>IFERROR(VLOOKUP($E28,'Lesson Bank'!$A:$L,6,FALSE)&amp;"","")</f>
        <v/>
      </c>
      <c r="I28" s="20">
        <f>IFERROR(VLOOKUP($E28,'Lesson Bank'!$A:$L,8,FALSE)&amp;"","")</f>
        <v/>
      </c>
      <c r="J28" s="20">
        <f>IFERROR(VLOOKUP($E28,'Lesson Bank'!$A:$L,5,FALSE),$E28)</f>
        <v/>
      </c>
      <c r="K28" s="20" t="inlineStr"/>
      <c r="L28" s="20" t="inlineStr"/>
    </row>
    <row r="29">
      <c r="A29" s="23" t="n">
        <v>46338</v>
      </c>
      <c r="B29" s="20" t="inlineStr">
        <is>
          <t>Thu</t>
        </is>
      </c>
      <c r="C29" s="20" t="inlineStr">
        <is>
          <t>Q2</t>
        </is>
      </c>
      <c r="D29" s="20">
        <f>ROW()-1</f>
        <v/>
      </c>
      <c r="E29" s="24" t="inlineStr">
        <is>
          <t>U3-C1L5</t>
        </is>
      </c>
      <c r="F29" s="20">
        <f>IFERROR(VLOOKUP($E29,'Lesson Bank'!$A:$L,3,FALSE)&amp;"","")</f>
        <v/>
      </c>
      <c r="G29" s="20">
        <f>IFERROR(VLOOKUP($E29,'Lesson Bank'!$A:$L,4,FALSE)&amp;"","")</f>
        <v/>
      </c>
      <c r="H29" s="20">
        <f>IFERROR(VLOOKUP($E29,'Lesson Bank'!$A:$L,6,FALSE)&amp;"","")</f>
        <v/>
      </c>
      <c r="I29" s="20">
        <f>IFERROR(VLOOKUP($E29,'Lesson Bank'!$A:$L,8,FALSE)&amp;"","")</f>
        <v/>
      </c>
      <c r="J29" s="20">
        <f>IFERROR(VLOOKUP($E29,'Lesson Bank'!$A:$L,5,FALSE),$E29)</f>
        <v/>
      </c>
      <c r="K29" s="20" t="inlineStr"/>
      <c r="L29" s="20" t="inlineStr"/>
    </row>
    <row r="30">
      <c r="A30" s="23" t="n">
        <v>46342</v>
      </c>
      <c r="B30" s="20" t="inlineStr">
        <is>
          <t>Mon</t>
        </is>
      </c>
      <c r="C30" s="20" t="inlineStr">
        <is>
          <t>Q2</t>
        </is>
      </c>
      <c r="D30" s="20">
        <f>ROW()-1</f>
        <v/>
      </c>
      <c r="E30" s="24" t="inlineStr">
        <is>
          <t>U3-C2L1</t>
        </is>
      </c>
      <c r="F30" s="20">
        <f>IFERROR(VLOOKUP($E30,'Lesson Bank'!$A:$L,3,FALSE)&amp;"","")</f>
        <v/>
      </c>
      <c r="G30" s="20">
        <f>IFERROR(VLOOKUP($E30,'Lesson Bank'!$A:$L,4,FALSE)&amp;"","")</f>
        <v/>
      </c>
      <c r="H30" s="20">
        <f>IFERROR(VLOOKUP($E30,'Lesson Bank'!$A:$L,6,FALSE)&amp;"","")</f>
        <v/>
      </c>
      <c r="I30" s="20">
        <f>IFERROR(VLOOKUP($E30,'Lesson Bank'!$A:$L,8,FALSE)&amp;"","")</f>
        <v/>
      </c>
      <c r="J30" s="20">
        <f>IFERROR(VLOOKUP($E30,'Lesson Bank'!$A:$L,5,FALSE),$E30)</f>
        <v/>
      </c>
      <c r="K30" s="20" t="inlineStr"/>
      <c r="L30" s="20" t="inlineStr"/>
    </row>
    <row r="31">
      <c r="A31" s="23" t="n">
        <v>46344</v>
      </c>
      <c r="B31" s="20" t="inlineStr">
        <is>
          <t>Wed</t>
        </is>
      </c>
      <c r="C31" s="20" t="inlineStr">
        <is>
          <t>Q2</t>
        </is>
      </c>
      <c r="D31" s="20">
        <f>ROW()-1</f>
        <v/>
      </c>
      <c r="E31" s="24" t="inlineStr">
        <is>
          <t>U3-C2L2</t>
        </is>
      </c>
      <c r="F31" s="20">
        <f>IFERROR(VLOOKUP($E31,'Lesson Bank'!$A:$L,3,FALSE)&amp;"","")</f>
        <v/>
      </c>
      <c r="G31" s="20">
        <f>IFERROR(VLOOKUP($E31,'Lesson Bank'!$A:$L,4,FALSE)&amp;"","")</f>
        <v/>
      </c>
      <c r="H31" s="20">
        <f>IFERROR(VLOOKUP($E31,'Lesson Bank'!$A:$L,6,FALSE)&amp;"","")</f>
        <v/>
      </c>
      <c r="I31" s="20">
        <f>IFERROR(VLOOKUP($E31,'Lesson Bank'!$A:$L,8,FALSE)&amp;"","")</f>
        <v/>
      </c>
      <c r="J31" s="20">
        <f>IFERROR(VLOOKUP($E31,'Lesson Bank'!$A:$L,5,FALSE),$E31)</f>
        <v/>
      </c>
      <c r="K31" s="20" t="inlineStr"/>
      <c r="L31" s="20" t="inlineStr"/>
    </row>
    <row r="32">
      <c r="A32" s="23" t="n">
        <v>46346</v>
      </c>
      <c r="B32" s="20" t="inlineStr">
        <is>
          <t>Fri</t>
        </is>
      </c>
      <c r="C32" s="20" t="inlineStr">
        <is>
          <t>Q2</t>
        </is>
      </c>
      <c r="D32" s="20">
        <f>ROW()-1</f>
        <v/>
      </c>
      <c r="E32" s="24" t="inlineStr">
        <is>
          <t>U3-C2L3</t>
        </is>
      </c>
      <c r="F32" s="20">
        <f>IFERROR(VLOOKUP($E32,'Lesson Bank'!$A:$L,3,FALSE)&amp;"","")</f>
        <v/>
      </c>
      <c r="G32" s="20">
        <f>IFERROR(VLOOKUP($E32,'Lesson Bank'!$A:$L,4,FALSE)&amp;"","")</f>
        <v/>
      </c>
      <c r="H32" s="20">
        <f>IFERROR(VLOOKUP($E32,'Lesson Bank'!$A:$L,6,FALSE)&amp;"","")</f>
        <v/>
      </c>
      <c r="I32" s="20">
        <f>IFERROR(VLOOKUP($E32,'Lesson Bank'!$A:$L,8,FALSE)&amp;"","")</f>
        <v/>
      </c>
      <c r="J32" s="20">
        <f>IFERROR(VLOOKUP($E32,'Lesson Bank'!$A:$L,5,FALSE),$E32)</f>
        <v/>
      </c>
      <c r="K32" s="20" t="inlineStr"/>
      <c r="L32" s="20" t="inlineStr"/>
    </row>
    <row r="33">
      <c r="A33" s="23" t="n">
        <v>46350</v>
      </c>
      <c r="B33" s="20" t="inlineStr">
        <is>
          <t>Tue</t>
        </is>
      </c>
      <c r="C33" s="20" t="inlineStr">
        <is>
          <t>Q2</t>
        </is>
      </c>
      <c r="D33" s="20">
        <f>ROW()-1</f>
        <v/>
      </c>
      <c r="E33" s="24" t="inlineStr">
        <is>
          <t>U3-C2L4</t>
        </is>
      </c>
      <c r="F33" s="20">
        <f>IFERROR(VLOOKUP($E33,'Lesson Bank'!$A:$L,3,FALSE)&amp;"","")</f>
        <v/>
      </c>
      <c r="G33" s="20">
        <f>IFERROR(VLOOKUP($E33,'Lesson Bank'!$A:$L,4,FALSE)&amp;"","")</f>
        <v/>
      </c>
      <c r="H33" s="20">
        <f>IFERROR(VLOOKUP($E33,'Lesson Bank'!$A:$L,6,FALSE)&amp;"","")</f>
        <v/>
      </c>
      <c r="I33" s="20">
        <f>IFERROR(VLOOKUP($E33,'Lesson Bank'!$A:$L,8,FALSE)&amp;"","")</f>
        <v/>
      </c>
      <c r="J33" s="20">
        <f>IFERROR(VLOOKUP($E33,'Lesson Bank'!$A:$L,5,FALSE),$E33)</f>
        <v/>
      </c>
      <c r="K33" s="20" t="inlineStr"/>
      <c r="L33" s="20" t="inlineStr"/>
    </row>
    <row r="34">
      <c r="A34" s="23" t="n">
        <v>46357</v>
      </c>
      <c r="B34" s="20" t="inlineStr">
        <is>
          <t>Tue</t>
        </is>
      </c>
      <c r="C34" s="20" t="inlineStr">
        <is>
          <t>Q2</t>
        </is>
      </c>
      <c r="D34" s="20">
        <f>ROW()-1</f>
        <v/>
      </c>
      <c r="E34" s="24" t="inlineStr">
        <is>
          <t>U3-C2L5</t>
        </is>
      </c>
      <c r="F34" s="20">
        <f>IFERROR(VLOOKUP($E34,'Lesson Bank'!$A:$L,3,FALSE)&amp;"","")</f>
        <v/>
      </c>
      <c r="G34" s="20">
        <f>IFERROR(VLOOKUP($E34,'Lesson Bank'!$A:$L,4,FALSE)&amp;"","")</f>
        <v/>
      </c>
      <c r="H34" s="20">
        <f>IFERROR(VLOOKUP($E34,'Lesson Bank'!$A:$L,6,FALSE)&amp;"","")</f>
        <v/>
      </c>
      <c r="I34" s="20">
        <f>IFERROR(VLOOKUP($E34,'Lesson Bank'!$A:$L,8,FALSE)&amp;"","")</f>
        <v/>
      </c>
      <c r="J34" s="20">
        <f>IFERROR(VLOOKUP($E34,'Lesson Bank'!$A:$L,5,FALSE),$E34)</f>
        <v/>
      </c>
      <c r="K34" s="20" t="inlineStr"/>
      <c r="L34" s="20" t="inlineStr"/>
    </row>
    <row r="35">
      <c r="A35" s="23" t="n">
        <v>46359</v>
      </c>
      <c r="B35" s="20" t="inlineStr">
        <is>
          <t>Thu</t>
        </is>
      </c>
      <c r="C35" s="20" t="inlineStr">
        <is>
          <t>Q2</t>
        </is>
      </c>
      <c r="D35" s="20">
        <f>ROW()-1</f>
        <v/>
      </c>
      <c r="E35" s="24" t="inlineStr">
        <is>
          <t>U3-C3L1</t>
        </is>
      </c>
      <c r="F35" s="20">
        <f>IFERROR(VLOOKUP($E35,'Lesson Bank'!$A:$L,3,FALSE)&amp;"","")</f>
        <v/>
      </c>
      <c r="G35" s="20">
        <f>IFERROR(VLOOKUP($E35,'Lesson Bank'!$A:$L,4,FALSE)&amp;"","")</f>
        <v/>
      </c>
      <c r="H35" s="20">
        <f>IFERROR(VLOOKUP($E35,'Lesson Bank'!$A:$L,6,FALSE)&amp;"","")</f>
        <v/>
      </c>
      <c r="I35" s="20">
        <f>IFERROR(VLOOKUP($E35,'Lesson Bank'!$A:$L,8,FALSE)&amp;"","")</f>
        <v/>
      </c>
      <c r="J35" s="20">
        <f>IFERROR(VLOOKUP($E35,'Lesson Bank'!$A:$L,5,FALSE),$E35)</f>
        <v/>
      </c>
      <c r="K35" s="20" t="inlineStr"/>
      <c r="L35" s="20" t="inlineStr"/>
    </row>
    <row r="36">
      <c r="A36" s="23" t="n">
        <v>46363</v>
      </c>
      <c r="B36" s="20" t="inlineStr">
        <is>
          <t>Mon</t>
        </is>
      </c>
      <c r="C36" s="20" t="inlineStr">
        <is>
          <t>Q2</t>
        </is>
      </c>
      <c r="D36" s="20">
        <f>ROW()-1</f>
        <v/>
      </c>
      <c r="E36" s="24" t="inlineStr">
        <is>
          <t>Q2-MQ</t>
        </is>
      </c>
      <c r="F36" s="20">
        <f>IFERROR(VLOOKUP($E36,'Lesson Bank'!$A:$L,3,FALSE)&amp;"","")</f>
        <v/>
      </c>
      <c r="G36" s="20">
        <f>IFERROR(VLOOKUP($E36,'Lesson Bank'!$A:$L,4,FALSE)&amp;"","")</f>
        <v/>
      </c>
      <c r="H36" s="20">
        <f>IFERROR(VLOOKUP($E36,'Lesson Bank'!$A:$L,6,FALSE)&amp;"","")</f>
        <v/>
      </c>
      <c r="I36" s="20">
        <f>IFERROR(VLOOKUP($E36,'Lesson Bank'!$A:$L,8,FALSE)&amp;"","")</f>
        <v/>
      </c>
      <c r="J36" s="20">
        <f>IFERROR(VLOOKUP($E36,'Lesson Bank'!$A:$L,5,FALSE),$E36)</f>
        <v/>
      </c>
      <c r="K36" s="20" t="inlineStr"/>
      <c r="L36" s="20" t="inlineStr"/>
    </row>
    <row r="37">
      <c r="A37" s="23" t="n">
        <v>46365</v>
      </c>
      <c r="B37" s="20" t="inlineStr">
        <is>
          <t>Wed</t>
        </is>
      </c>
      <c r="C37" s="20" t="inlineStr">
        <is>
          <t>Q2</t>
        </is>
      </c>
      <c r="D37" s="20">
        <f>ROW()-1</f>
        <v/>
      </c>
      <c r="E37" s="24" t="inlineStr">
        <is>
          <t>U4-C1L1</t>
        </is>
      </c>
      <c r="F37" s="20">
        <f>IFERROR(VLOOKUP($E37,'Lesson Bank'!$A:$L,3,FALSE)&amp;"","")</f>
        <v/>
      </c>
      <c r="G37" s="20">
        <f>IFERROR(VLOOKUP($E37,'Lesson Bank'!$A:$L,4,FALSE)&amp;"","")</f>
        <v/>
      </c>
      <c r="H37" s="20">
        <f>IFERROR(VLOOKUP($E37,'Lesson Bank'!$A:$L,6,FALSE)&amp;"","")</f>
        <v/>
      </c>
      <c r="I37" s="20">
        <f>IFERROR(VLOOKUP($E37,'Lesson Bank'!$A:$L,8,FALSE)&amp;"","")</f>
        <v/>
      </c>
      <c r="J37" s="20">
        <f>IFERROR(VLOOKUP($E37,'Lesson Bank'!$A:$L,5,FALSE),$E37)</f>
        <v/>
      </c>
      <c r="K37" s="20" t="inlineStr"/>
      <c r="L37" s="20" t="inlineStr"/>
    </row>
    <row r="38">
      <c r="A38" s="23" t="n">
        <v>46367</v>
      </c>
      <c r="B38" s="20" t="inlineStr">
        <is>
          <t>Fri</t>
        </is>
      </c>
      <c r="C38" s="20" t="inlineStr">
        <is>
          <t>Q2</t>
        </is>
      </c>
      <c r="D38" s="20">
        <f>ROW()-1</f>
        <v/>
      </c>
      <c r="E38" s="24" t="inlineStr">
        <is>
          <t>U4-C1L2</t>
        </is>
      </c>
      <c r="F38" s="20">
        <f>IFERROR(VLOOKUP($E38,'Lesson Bank'!$A:$L,3,FALSE)&amp;"","")</f>
        <v/>
      </c>
      <c r="G38" s="20">
        <f>IFERROR(VLOOKUP($E38,'Lesson Bank'!$A:$L,4,FALSE)&amp;"","")</f>
        <v/>
      </c>
      <c r="H38" s="20">
        <f>IFERROR(VLOOKUP($E38,'Lesson Bank'!$A:$L,6,FALSE)&amp;"","")</f>
        <v/>
      </c>
      <c r="I38" s="20">
        <f>IFERROR(VLOOKUP($E38,'Lesson Bank'!$A:$L,8,FALSE)&amp;"","")</f>
        <v/>
      </c>
      <c r="J38" s="20">
        <f>IFERROR(VLOOKUP($E38,'Lesson Bank'!$A:$L,5,FALSE),$E38)</f>
        <v/>
      </c>
      <c r="K38" s="20" t="inlineStr"/>
      <c r="L38" s="20" t="inlineStr"/>
    </row>
    <row r="39">
      <c r="A39" s="23" t="n">
        <v>46371</v>
      </c>
      <c r="B39" s="20" t="inlineStr">
        <is>
          <t>Tue</t>
        </is>
      </c>
      <c r="C39" s="20" t="inlineStr">
        <is>
          <t>Q2</t>
        </is>
      </c>
      <c r="D39" s="20">
        <f>ROW()-1</f>
        <v/>
      </c>
      <c r="E39" s="24" t="inlineStr">
        <is>
          <t>U4-C1L3</t>
        </is>
      </c>
      <c r="F39" s="20">
        <f>IFERROR(VLOOKUP($E39,'Lesson Bank'!$A:$L,3,FALSE)&amp;"","")</f>
        <v/>
      </c>
      <c r="G39" s="20">
        <f>IFERROR(VLOOKUP($E39,'Lesson Bank'!$A:$L,4,FALSE)&amp;"","")</f>
        <v/>
      </c>
      <c r="H39" s="20">
        <f>IFERROR(VLOOKUP($E39,'Lesson Bank'!$A:$L,6,FALSE)&amp;"","")</f>
        <v/>
      </c>
      <c r="I39" s="20">
        <f>IFERROR(VLOOKUP($E39,'Lesson Bank'!$A:$L,8,FALSE)&amp;"","")</f>
        <v/>
      </c>
      <c r="J39" s="20">
        <f>IFERROR(VLOOKUP($E39,'Lesson Bank'!$A:$L,5,FALSE),$E39)</f>
        <v/>
      </c>
      <c r="K39" s="20" t="inlineStr"/>
      <c r="L39" s="20" t="inlineStr"/>
    </row>
    <row r="40">
      <c r="A40" s="23" t="n">
        <v>46373</v>
      </c>
      <c r="B40" s="20" t="inlineStr">
        <is>
          <t>Thu</t>
        </is>
      </c>
      <c r="C40" s="20" t="inlineStr">
        <is>
          <t>Q2</t>
        </is>
      </c>
      <c r="D40" s="20">
        <f>ROW()-1</f>
        <v/>
      </c>
      <c r="E40" s="24" t="inlineStr">
        <is>
          <t>U4-C1L4</t>
        </is>
      </c>
      <c r="F40" s="20">
        <f>IFERROR(VLOOKUP($E40,'Lesson Bank'!$A:$L,3,FALSE)&amp;"","")</f>
        <v/>
      </c>
      <c r="G40" s="20">
        <f>IFERROR(VLOOKUP($E40,'Lesson Bank'!$A:$L,4,FALSE)&amp;"","")</f>
        <v/>
      </c>
      <c r="H40" s="20">
        <f>IFERROR(VLOOKUP($E40,'Lesson Bank'!$A:$L,6,FALSE)&amp;"","")</f>
        <v/>
      </c>
      <c r="I40" s="20">
        <f>IFERROR(VLOOKUP($E40,'Lesson Bank'!$A:$L,8,FALSE)&amp;"","")</f>
        <v/>
      </c>
      <c r="J40" s="20">
        <f>IFERROR(VLOOKUP($E40,'Lesson Bank'!$A:$L,5,FALSE),$E40)</f>
        <v/>
      </c>
      <c r="K40" s="20" t="inlineStr"/>
      <c r="L40" s="20" t="inlineStr"/>
    </row>
    <row r="41">
      <c r="A41" s="23" t="n">
        <v>46392</v>
      </c>
      <c r="B41" s="20" t="inlineStr">
        <is>
          <t>Tue</t>
        </is>
      </c>
      <c r="C41" s="20" t="inlineStr">
        <is>
          <t>Q2</t>
        </is>
      </c>
      <c r="D41" s="20">
        <f>ROW()-1</f>
        <v/>
      </c>
      <c r="E41" s="24" t="inlineStr">
        <is>
          <t>U4-C1L5</t>
        </is>
      </c>
      <c r="F41" s="20">
        <f>IFERROR(VLOOKUP($E41,'Lesson Bank'!$A:$L,3,FALSE)&amp;"","")</f>
        <v/>
      </c>
      <c r="G41" s="20">
        <f>IFERROR(VLOOKUP($E41,'Lesson Bank'!$A:$L,4,FALSE)&amp;"","")</f>
        <v/>
      </c>
      <c r="H41" s="20">
        <f>IFERROR(VLOOKUP($E41,'Lesson Bank'!$A:$L,6,FALSE)&amp;"","")</f>
        <v/>
      </c>
      <c r="I41" s="20">
        <f>IFERROR(VLOOKUP($E41,'Lesson Bank'!$A:$L,8,FALSE)&amp;"","")</f>
        <v/>
      </c>
      <c r="J41" s="20">
        <f>IFERROR(VLOOKUP($E41,'Lesson Bank'!$A:$L,5,FALSE),$E41)</f>
        <v/>
      </c>
      <c r="K41" s="20" t="inlineStr"/>
      <c r="L41" s="20" t="inlineStr"/>
    </row>
    <row r="42">
      <c r="A42" s="23" t="n">
        <v>46394</v>
      </c>
      <c r="B42" s="20" t="inlineStr">
        <is>
          <t>Thu</t>
        </is>
      </c>
      <c r="C42" s="20" t="inlineStr">
        <is>
          <t>Q2</t>
        </is>
      </c>
      <c r="D42" s="20">
        <f>ROW()-1</f>
        <v/>
      </c>
      <c r="E42" s="24" t="inlineStr">
        <is>
          <t>U4-C2L1</t>
        </is>
      </c>
      <c r="F42" s="20">
        <f>IFERROR(VLOOKUP($E42,'Lesson Bank'!$A:$L,3,FALSE)&amp;"","")</f>
        <v/>
      </c>
      <c r="G42" s="20">
        <f>IFERROR(VLOOKUP($E42,'Lesson Bank'!$A:$L,4,FALSE)&amp;"","")</f>
        <v/>
      </c>
      <c r="H42" s="20">
        <f>IFERROR(VLOOKUP($E42,'Lesson Bank'!$A:$L,6,FALSE)&amp;"","")</f>
        <v/>
      </c>
      <c r="I42" s="20">
        <f>IFERROR(VLOOKUP($E42,'Lesson Bank'!$A:$L,8,FALSE)&amp;"","")</f>
        <v/>
      </c>
      <c r="J42" s="20">
        <f>IFERROR(VLOOKUP($E42,'Lesson Bank'!$A:$L,5,FALSE),$E42)</f>
        <v/>
      </c>
      <c r="K42" s="20" t="inlineStr"/>
      <c r="L42" s="20" t="inlineStr"/>
    </row>
    <row r="43">
      <c r="A43" s="23" t="n">
        <v>46398</v>
      </c>
      <c r="B43" s="20" t="inlineStr">
        <is>
          <t>Mon</t>
        </is>
      </c>
      <c r="C43" s="20" t="inlineStr">
        <is>
          <t>Q2</t>
        </is>
      </c>
      <c r="D43" s="20">
        <f>ROW()-1</f>
        <v/>
      </c>
      <c r="E43" s="24" t="inlineStr">
        <is>
          <t>U4-C2L2</t>
        </is>
      </c>
      <c r="F43" s="20">
        <f>IFERROR(VLOOKUP($E43,'Lesson Bank'!$A:$L,3,FALSE)&amp;"","")</f>
        <v/>
      </c>
      <c r="G43" s="20">
        <f>IFERROR(VLOOKUP($E43,'Lesson Bank'!$A:$L,4,FALSE)&amp;"","")</f>
        <v/>
      </c>
      <c r="H43" s="20">
        <f>IFERROR(VLOOKUP($E43,'Lesson Bank'!$A:$L,6,FALSE)&amp;"","")</f>
        <v/>
      </c>
      <c r="I43" s="20">
        <f>IFERROR(VLOOKUP($E43,'Lesson Bank'!$A:$L,8,FALSE)&amp;"","")</f>
        <v/>
      </c>
      <c r="J43" s="20">
        <f>IFERROR(VLOOKUP($E43,'Lesson Bank'!$A:$L,5,FALSE),$E43)</f>
        <v/>
      </c>
      <c r="K43" s="20" t="inlineStr"/>
      <c r="L43" s="20" t="inlineStr"/>
    </row>
    <row r="44">
      <c r="A44" s="23" t="n">
        <v>46400</v>
      </c>
      <c r="B44" s="20" t="inlineStr">
        <is>
          <t>Wed</t>
        </is>
      </c>
      <c r="C44" s="20" t="inlineStr">
        <is>
          <t>Q2</t>
        </is>
      </c>
      <c r="D44" s="20">
        <f>ROW()-1</f>
        <v/>
      </c>
      <c r="E44" s="24" t="inlineStr">
        <is>
          <t>U5-C1L1</t>
        </is>
      </c>
      <c r="F44" s="20">
        <f>IFERROR(VLOOKUP($E44,'Lesson Bank'!$A:$L,3,FALSE)&amp;"","")</f>
        <v/>
      </c>
      <c r="G44" s="20">
        <f>IFERROR(VLOOKUP($E44,'Lesson Bank'!$A:$L,4,FALSE)&amp;"","")</f>
        <v/>
      </c>
      <c r="H44" s="20">
        <f>IFERROR(VLOOKUP($E44,'Lesson Bank'!$A:$L,6,FALSE)&amp;"","")</f>
        <v/>
      </c>
      <c r="I44" s="20">
        <f>IFERROR(VLOOKUP($E44,'Lesson Bank'!$A:$L,8,FALSE)&amp;"","")</f>
        <v/>
      </c>
      <c r="J44" s="20">
        <f>IFERROR(VLOOKUP($E44,'Lesson Bank'!$A:$L,5,FALSE),$E44)</f>
        <v/>
      </c>
      <c r="K44" s="20" t="inlineStr"/>
      <c r="L44" s="20" t="inlineStr"/>
    </row>
    <row r="45">
      <c r="A45" s="23" t="n">
        <v>46402</v>
      </c>
      <c r="B45" s="20" t="inlineStr">
        <is>
          <t>Fri</t>
        </is>
      </c>
      <c r="C45" s="20" t="inlineStr">
        <is>
          <t>Q2</t>
        </is>
      </c>
      <c r="D45" s="20">
        <f>ROW()-1</f>
        <v/>
      </c>
      <c r="E45" s="24" t="inlineStr">
        <is>
          <t>U5-C1L2</t>
        </is>
      </c>
      <c r="F45" s="20">
        <f>IFERROR(VLOOKUP($E45,'Lesson Bank'!$A:$L,3,FALSE)&amp;"","")</f>
        <v/>
      </c>
      <c r="G45" s="20">
        <f>IFERROR(VLOOKUP($E45,'Lesson Bank'!$A:$L,4,FALSE)&amp;"","")</f>
        <v/>
      </c>
      <c r="H45" s="20">
        <f>IFERROR(VLOOKUP($E45,'Lesson Bank'!$A:$L,6,FALSE)&amp;"","")</f>
        <v/>
      </c>
      <c r="I45" s="20">
        <f>IFERROR(VLOOKUP($E45,'Lesson Bank'!$A:$L,8,FALSE)&amp;"","")</f>
        <v/>
      </c>
      <c r="J45" s="20">
        <f>IFERROR(VLOOKUP($E45,'Lesson Bank'!$A:$L,5,FALSE),$E45)</f>
        <v/>
      </c>
      <c r="K45" s="20" t="inlineStr"/>
      <c r="L45" s="20" t="inlineStr"/>
    </row>
    <row r="46">
      <c r="A46" s="23" t="n">
        <v>46414</v>
      </c>
      <c r="B46" s="20" t="inlineStr">
        <is>
          <t>Wed</t>
        </is>
      </c>
      <c r="C46" s="20" t="inlineStr">
        <is>
          <t>Q3</t>
        </is>
      </c>
      <c r="D46" s="20">
        <f>ROW()-1</f>
        <v/>
      </c>
      <c r="E46" s="24" t="inlineStr">
        <is>
          <t>Q2-BM</t>
        </is>
      </c>
      <c r="F46" s="20">
        <f>IFERROR(VLOOKUP($E46,'Lesson Bank'!$A:$L,3,FALSE)&amp;"","")</f>
        <v/>
      </c>
      <c r="G46" s="20">
        <f>IFERROR(VLOOKUP($E46,'Lesson Bank'!$A:$L,4,FALSE)&amp;"","")</f>
        <v/>
      </c>
      <c r="H46" s="20">
        <f>IFERROR(VLOOKUP($E46,'Lesson Bank'!$A:$L,6,FALSE)&amp;"","")</f>
        <v/>
      </c>
      <c r="I46" s="20">
        <f>IFERROR(VLOOKUP($E46,'Lesson Bank'!$A:$L,8,FALSE)&amp;"","")</f>
        <v/>
      </c>
      <c r="J46" s="20">
        <f>IFERROR(VLOOKUP($E46,'Lesson Bank'!$A:$L,5,FALSE),$E46)</f>
        <v/>
      </c>
      <c r="K46" s="20" t="inlineStr">
        <is>
          <t>Second semester begins</t>
        </is>
      </c>
      <c r="L46" s="20" t="inlineStr"/>
    </row>
    <row r="47">
      <c r="A47" s="23" t="n">
        <v>46416</v>
      </c>
      <c r="B47" s="20" t="inlineStr">
        <is>
          <t>Fri</t>
        </is>
      </c>
      <c r="C47" s="20" t="inlineStr">
        <is>
          <t>Q3</t>
        </is>
      </c>
      <c r="D47" s="20">
        <f>ROW()-1</f>
        <v/>
      </c>
      <c r="E47" s="24" t="inlineStr">
        <is>
          <t>U5-C1L3</t>
        </is>
      </c>
      <c r="F47" s="20">
        <f>IFERROR(VLOOKUP($E47,'Lesson Bank'!$A:$L,3,FALSE)&amp;"","")</f>
        <v/>
      </c>
      <c r="G47" s="20">
        <f>IFERROR(VLOOKUP($E47,'Lesson Bank'!$A:$L,4,FALSE)&amp;"","")</f>
        <v/>
      </c>
      <c r="H47" s="20">
        <f>IFERROR(VLOOKUP($E47,'Lesson Bank'!$A:$L,6,FALSE)&amp;"","")</f>
        <v/>
      </c>
      <c r="I47" s="20">
        <f>IFERROR(VLOOKUP($E47,'Lesson Bank'!$A:$L,8,FALSE)&amp;"","")</f>
        <v/>
      </c>
      <c r="J47" s="20">
        <f>IFERROR(VLOOKUP($E47,'Lesson Bank'!$A:$L,5,FALSE),$E47)</f>
        <v/>
      </c>
      <c r="K47" s="20" t="inlineStr"/>
      <c r="L47" s="20" t="inlineStr"/>
    </row>
    <row r="48">
      <c r="A48" s="23" t="n">
        <v>46420</v>
      </c>
      <c r="B48" s="20" t="inlineStr">
        <is>
          <t>Tue</t>
        </is>
      </c>
      <c r="C48" s="20" t="inlineStr">
        <is>
          <t>Q3</t>
        </is>
      </c>
      <c r="D48" s="20">
        <f>ROW()-1</f>
        <v/>
      </c>
      <c r="E48" s="24" t="inlineStr">
        <is>
          <t>U5-C1L4</t>
        </is>
      </c>
      <c r="F48" s="20">
        <f>IFERROR(VLOOKUP($E48,'Lesson Bank'!$A:$L,3,FALSE)&amp;"","")</f>
        <v/>
      </c>
      <c r="G48" s="20">
        <f>IFERROR(VLOOKUP($E48,'Lesson Bank'!$A:$L,4,FALSE)&amp;"","")</f>
        <v/>
      </c>
      <c r="H48" s="20">
        <f>IFERROR(VLOOKUP($E48,'Lesson Bank'!$A:$L,6,FALSE)&amp;"","")</f>
        <v/>
      </c>
      <c r="I48" s="20">
        <f>IFERROR(VLOOKUP($E48,'Lesson Bank'!$A:$L,8,FALSE)&amp;"","")</f>
        <v/>
      </c>
      <c r="J48" s="20">
        <f>IFERROR(VLOOKUP($E48,'Lesson Bank'!$A:$L,5,FALSE),$E48)</f>
        <v/>
      </c>
      <c r="K48" s="20" t="inlineStr"/>
      <c r="L48" s="20" t="inlineStr"/>
    </row>
    <row r="49">
      <c r="A49" s="23" t="n">
        <v>46422</v>
      </c>
      <c r="B49" s="20" t="inlineStr">
        <is>
          <t>Thu</t>
        </is>
      </c>
      <c r="C49" s="20" t="inlineStr">
        <is>
          <t>Q3</t>
        </is>
      </c>
      <c r="D49" s="20">
        <f>ROW()-1</f>
        <v/>
      </c>
      <c r="E49" s="24" t="inlineStr">
        <is>
          <t>U5-C1L5</t>
        </is>
      </c>
      <c r="F49" s="20">
        <f>IFERROR(VLOOKUP($E49,'Lesson Bank'!$A:$L,3,FALSE)&amp;"","")</f>
        <v/>
      </c>
      <c r="G49" s="20">
        <f>IFERROR(VLOOKUP($E49,'Lesson Bank'!$A:$L,4,FALSE)&amp;"","")</f>
        <v/>
      </c>
      <c r="H49" s="20">
        <f>IFERROR(VLOOKUP($E49,'Lesson Bank'!$A:$L,6,FALSE)&amp;"","")</f>
        <v/>
      </c>
      <c r="I49" s="20">
        <f>IFERROR(VLOOKUP($E49,'Lesson Bank'!$A:$L,8,FALSE)&amp;"","")</f>
        <v/>
      </c>
      <c r="J49" s="20">
        <f>IFERROR(VLOOKUP($E49,'Lesson Bank'!$A:$L,5,FALSE),$E49)</f>
        <v/>
      </c>
      <c r="K49" s="20" t="inlineStr"/>
      <c r="L49" s="20" t="inlineStr"/>
    </row>
    <row r="50">
      <c r="A50" s="23" t="n">
        <v>46426</v>
      </c>
      <c r="B50" s="20" t="inlineStr">
        <is>
          <t>Mon</t>
        </is>
      </c>
      <c r="C50" s="20" t="inlineStr">
        <is>
          <t>Q3</t>
        </is>
      </c>
      <c r="D50" s="20">
        <f>ROW()-1</f>
        <v/>
      </c>
      <c r="E50" s="24" t="inlineStr">
        <is>
          <t>LPA</t>
        </is>
      </c>
      <c r="F50" s="20">
        <f>IFERROR(VLOOKUP($E50,'Lesson Bank'!$A:$L,3,FALSE)&amp;"","")</f>
        <v/>
      </c>
      <c r="G50" s="20">
        <f>IFERROR(VLOOKUP($E50,'Lesson Bank'!$A:$L,4,FALSE)&amp;"","")</f>
        <v/>
      </c>
      <c r="H50" s="20">
        <f>IFERROR(VLOOKUP($E50,'Lesson Bank'!$A:$L,6,FALSE)&amp;"","")</f>
        <v/>
      </c>
      <c r="I50" s="20">
        <f>IFERROR(VLOOKUP($E50,'Lesson Bank'!$A:$L,8,FALSE)&amp;"","")</f>
        <v/>
      </c>
      <c r="J50" s="20">
        <f>IFERROR(VLOOKUP($E50,'Lesson Bank'!$A:$L,5,FALSE),$E50)</f>
        <v/>
      </c>
      <c r="K50" s="20" t="inlineStr"/>
      <c r="L50" s="20" t="inlineStr"/>
    </row>
    <row r="51">
      <c r="A51" s="23" t="n">
        <v>46428</v>
      </c>
      <c r="B51" s="20" t="inlineStr">
        <is>
          <t>Wed</t>
        </is>
      </c>
      <c r="C51" s="20" t="inlineStr">
        <is>
          <t>Q3</t>
        </is>
      </c>
      <c r="D51" s="20">
        <f>ROW()-1</f>
        <v/>
      </c>
      <c r="E51" s="24" t="inlineStr">
        <is>
          <t>U5-C2L1</t>
        </is>
      </c>
      <c r="F51" s="20">
        <f>IFERROR(VLOOKUP($E51,'Lesson Bank'!$A:$L,3,FALSE)&amp;"","")</f>
        <v/>
      </c>
      <c r="G51" s="20">
        <f>IFERROR(VLOOKUP($E51,'Lesson Bank'!$A:$L,4,FALSE)&amp;"","")</f>
        <v/>
      </c>
      <c r="H51" s="20">
        <f>IFERROR(VLOOKUP($E51,'Lesson Bank'!$A:$L,6,FALSE)&amp;"","")</f>
        <v/>
      </c>
      <c r="I51" s="20">
        <f>IFERROR(VLOOKUP($E51,'Lesson Bank'!$A:$L,8,FALSE)&amp;"","")</f>
        <v/>
      </c>
      <c r="J51" s="20">
        <f>IFERROR(VLOOKUP($E51,'Lesson Bank'!$A:$L,5,FALSE),$E51)</f>
        <v/>
      </c>
      <c r="K51" s="20" t="inlineStr"/>
      <c r="L51" s="20" t="inlineStr"/>
    </row>
    <row r="52">
      <c r="A52" s="23" t="n">
        <v>46430</v>
      </c>
      <c r="B52" s="20" t="inlineStr">
        <is>
          <t>Fri</t>
        </is>
      </c>
      <c r="C52" s="20" t="inlineStr">
        <is>
          <t>Q3</t>
        </is>
      </c>
      <c r="D52" s="20">
        <f>ROW()-1</f>
        <v/>
      </c>
      <c r="E52" s="24" t="inlineStr">
        <is>
          <t>U5-C2L2</t>
        </is>
      </c>
      <c r="F52" s="20">
        <f>IFERROR(VLOOKUP($E52,'Lesson Bank'!$A:$L,3,FALSE)&amp;"","")</f>
        <v/>
      </c>
      <c r="G52" s="20">
        <f>IFERROR(VLOOKUP($E52,'Lesson Bank'!$A:$L,4,FALSE)&amp;"","")</f>
        <v/>
      </c>
      <c r="H52" s="20">
        <f>IFERROR(VLOOKUP($E52,'Lesson Bank'!$A:$L,6,FALSE)&amp;"","")</f>
        <v/>
      </c>
      <c r="I52" s="20">
        <f>IFERROR(VLOOKUP($E52,'Lesson Bank'!$A:$L,8,FALSE)&amp;"","")</f>
        <v/>
      </c>
      <c r="J52" s="20">
        <f>IFERROR(VLOOKUP($E52,'Lesson Bank'!$A:$L,5,FALSE),$E52)</f>
        <v/>
      </c>
      <c r="K52" s="20" t="inlineStr"/>
      <c r="L52" s="20" t="inlineStr"/>
    </row>
    <row r="53">
      <c r="A53" s="23" t="n">
        <v>46435</v>
      </c>
      <c r="B53" s="20" t="inlineStr">
        <is>
          <t>Wed</t>
        </is>
      </c>
      <c r="C53" s="20" t="inlineStr">
        <is>
          <t>Q3</t>
        </is>
      </c>
      <c r="D53" s="20">
        <f>ROW()-1</f>
        <v/>
      </c>
      <c r="E53" s="24" t="inlineStr">
        <is>
          <t>U5-C2L3</t>
        </is>
      </c>
      <c r="F53" s="20">
        <f>IFERROR(VLOOKUP($E53,'Lesson Bank'!$A:$L,3,FALSE)&amp;"","")</f>
        <v/>
      </c>
      <c r="G53" s="20">
        <f>IFERROR(VLOOKUP($E53,'Lesson Bank'!$A:$L,4,FALSE)&amp;"","")</f>
        <v/>
      </c>
      <c r="H53" s="20">
        <f>IFERROR(VLOOKUP($E53,'Lesson Bank'!$A:$L,6,FALSE)&amp;"","")</f>
        <v/>
      </c>
      <c r="I53" s="20">
        <f>IFERROR(VLOOKUP($E53,'Lesson Bank'!$A:$L,8,FALSE)&amp;"","")</f>
        <v/>
      </c>
      <c r="J53" s="20">
        <f>IFERROR(VLOOKUP($E53,'Lesson Bank'!$A:$L,5,FALSE),$E53)</f>
        <v/>
      </c>
      <c r="K53" s="20" t="inlineStr"/>
      <c r="L53" s="20" t="inlineStr"/>
    </row>
    <row r="54">
      <c r="A54" s="23" t="n">
        <v>46437</v>
      </c>
      <c r="B54" s="20" t="inlineStr">
        <is>
          <t>Fri</t>
        </is>
      </c>
      <c r="C54" s="20" t="inlineStr">
        <is>
          <t>Q3</t>
        </is>
      </c>
      <c r="D54" s="20">
        <f>ROW()-1</f>
        <v/>
      </c>
      <c r="E54" s="24" t="inlineStr">
        <is>
          <t>U5-C2L4</t>
        </is>
      </c>
      <c r="F54" s="20">
        <f>IFERROR(VLOOKUP($E54,'Lesson Bank'!$A:$L,3,FALSE)&amp;"","")</f>
        <v/>
      </c>
      <c r="G54" s="20">
        <f>IFERROR(VLOOKUP($E54,'Lesson Bank'!$A:$L,4,FALSE)&amp;"","")</f>
        <v/>
      </c>
      <c r="H54" s="20">
        <f>IFERROR(VLOOKUP($E54,'Lesson Bank'!$A:$L,6,FALSE)&amp;"","")</f>
        <v/>
      </c>
      <c r="I54" s="20">
        <f>IFERROR(VLOOKUP($E54,'Lesson Bank'!$A:$L,8,FALSE)&amp;"","")</f>
        <v/>
      </c>
      <c r="J54" s="20">
        <f>IFERROR(VLOOKUP($E54,'Lesson Bank'!$A:$L,5,FALSE),$E54)</f>
        <v/>
      </c>
      <c r="K54" s="20" t="inlineStr"/>
      <c r="L54" s="20" t="inlineStr"/>
    </row>
    <row r="55">
      <c r="A55" s="23" t="n">
        <v>46441</v>
      </c>
      <c r="B55" s="20" t="inlineStr">
        <is>
          <t>Tue</t>
        </is>
      </c>
      <c r="C55" s="20" t="inlineStr">
        <is>
          <t>Q3</t>
        </is>
      </c>
      <c r="D55" s="20">
        <f>ROW()-1</f>
        <v/>
      </c>
      <c r="E55" s="24" t="inlineStr">
        <is>
          <t>U5-C2L5</t>
        </is>
      </c>
      <c r="F55" s="20">
        <f>IFERROR(VLOOKUP($E55,'Lesson Bank'!$A:$L,3,FALSE)&amp;"","")</f>
        <v/>
      </c>
      <c r="G55" s="20">
        <f>IFERROR(VLOOKUP($E55,'Lesson Bank'!$A:$L,4,FALSE)&amp;"","")</f>
        <v/>
      </c>
      <c r="H55" s="20">
        <f>IFERROR(VLOOKUP($E55,'Lesson Bank'!$A:$L,6,FALSE)&amp;"","")</f>
        <v/>
      </c>
      <c r="I55" s="20">
        <f>IFERROR(VLOOKUP($E55,'Lesson Bank'!$A:$L,8,FALSE)&amp;"","")</f>
        <v/>
      </c>
      <c r="J55" s="20">
        <f>IFERROR(VLOOKUP($E55,'Lesson Bank'!$A:$L,5,FALSE),$E55)</f>
        <v/>
      </c>
      <c r="K55" s="20" t="inlineStr"/>
      <c r="L55" s="20" t="inlineStr"/>
    </row>
    <row r="56">
      <c r="A56" s="23" t="n">
        <v>46443</v>
      </c>
      <c r="B56" s="20" t="inlineStr">
        <is>
          <t>Thu</t>
        </is>
      </c>
      <c r="C56" s="20" t="inlineStr">
        <is>
          <t>Q3</t>
        </is>
      </c>
      <c r="D56" s="20">
        <f>ROW()-1</f>
        <v/>
      </c>
      <c r="E56" s="24" t="inlineStr">
        <is>
          <t>U5-C3L1</t>
        </is>
      </c>
      <c r="F56" s="20">
        <f>IFERROR(VLOOKUP($E56,'Lesson Bank'!$A:$L,3,FALSE)&amp;"","")</f>
        <v/>
      </c>
      <c r="G56" s="20">
        <f>IFERROR(VLOOKUP($E56,'Lesson Bank'!$A:$L,4,FALSE)&amp;"","")</f>
        <v/>
      </c>
      <c r="H56" s="20">
        <f>IFERROR(VLOOKUP($E56,'Lesson Bank'!$A:$L,6,FALSE)&amp;"","")</f>
        <v/>
      </c>
      <c r="I56" s="20">
        <f>IFERROR(VLOOKUP($E56,'Lesson Bank'!$A:$L,8,FALSE)&amp;"","")</f>
        <v/>
      </c>
      <c r="J56" s="20">
        <f>IFERROR(VLOOKUP($E56,'Lesson Bank'!$A:$L,5,FALSE),$E56)</f>
        <v/>
      </c>
      <c r="K56" s="20" t="inlineStr"/>
      <c r="L56" s="20" t="inlineStr"/>
    </row>
    <row r="57">
      <c r="A57" s="23" t="n">
        <v>46447</v>
      </c>
      <c r="B57" s="20" t="inlineStr">
        <is>
          <t>Mon</t>
        </is>
      </c>
      <c r="C57" s="20" t="inlineStr">
        <is>
          <t>Q3</t>
        </is>
      </c>
      <c r="D57" s="20">
        <f>ROW()-1</f>
        <v/>
      </c>
      <c r="E57" s="24" t="inlineStr">
        <is>
          <t>U5-C3L2</t>
        </is>
      </c>
      <c r="F57" s="20">
        <f>IFERROR(VLOOKUP($E57,'Lesson Bank'!$A:$L,3,FALSE)&amp;"","")</f>
        <v/>
      </c>
      <c r="G57" s="20">
        <f>IFERROR(VLOOKUP($E57,'Lesson Bank'!$A:$L,4,FALSE)&amp;"","")</f>
        <v/>
      </c>
      <c r="H57" s="20">
        <f>IFERROR(VLOOKUP($E57,'Lesson Bank'!$A:$L,6,FALSE)&amp;"","")</f>
        <v/>
      </c>
      <c r="I57" s="20">
        <f>IFERROR(VLOOKUP($E57,'Lesson Bank'!$A:$L,8,FALSE)&amp;"","")</f>
        <v/>
      </c>
      <c r="J57" s="20">
        <f>IFERROR(VLOOKUP($E57,'Lesson Bank'!$A:$L,5,FALSE),$E57)</f>
        <v/>
      </c>
      <c r="K57" s="20" t="inlineStr"/>
      <c r="L57" s="20" t="inlineStr"/>
    </row>
    <row r="58">
      <c r="A58" s="23" t="n">
        <v>46449</v>
      </c>
      <c r="B58" s="20" t="inlineStr">
        <is>
          <t>Wed</t>
        </is>
      </c>
      <c r="C58" s="20" t="inlineStr">
        <is>
          <t>Q3</t>
        </is>
      </c>
      <c r="D58" s="20">
        <f>ROW()-1</f>
        <v/>
      </c>
      <c r="E58" s="24" t="inlineStr">
        <is>
          <t>U5-C3L3</t>
        </is>
      </c>
      <c r="F58" s="20">
        <f>IFERROR(VLOOKUP($E58,'Lesson Bank'!$A:$L,3,FALSE)&amp;"","")</f>
        <v/>
      </c>
      <c r="G58" s="20">
        <f>IFERROR(VLOOKUP($E58,'Lesson Bank'!$A:$L,4,FALSE)&amp;"","")</f>
        <v/>
      </c>
      <c r="H58" s="20">
        <f>IFERROR(VLOOKUP($E58,'Lesson Bank'!$A:$L,6,FALSE)&amp;"","")</f>
        <v/>
      </c>
      <c r="I58" s="20">
        <f>IFERROR(VLOOKUP($E58,'Lesson Bank'!$A:$L,8,FALSE)&amp;"","")</f>
        <v/>
      </c>
      <c r="J58" s="20">
        <f>IFERROR(VLOOKUP($E58,'Lesson Bank'!$A:$L,5,FALSE),$E58)</f>
        <v/>
      </c>
      <c r="K58" s="20" t="inlineStr"/>
      <c r="L58" s="20" t="inlineStr"/>
    </row>
    <row r="59">
      <c r="A59" s="23" t="n">
        <v>46451</v>
      </c>
      <c r="B59" s="20" t="inlineStr">
        <is>
          <t>Fri</t>
        </is>
      </c>
      <c r="C59" s="20" t="inlineStr">
        <is>
          <t>Q3</t>
        </is>
      </c>
      <c r="D59" s="20">
        <f>ROW()-1</f>
        <v/>
      </c>
      <c r="E59" s="24" t="inlineStr">
        <is>
          <t>U5-C3L4</t>
        </is>
      </c>
      <c r="F59" s="20">
        <f>IFERROR(VLOOKUP($E59,'Lesson Bank'!$A:$L,3,FALSE)&amp;"","")</f>
        <v/>
      </c>
      <c r="G59" s="20">
        <f>IFERROR(VLOOKUP($E59,'Lesson Bank'!$A:$L,4,FALSE)&amp;"","")</f>
        <v/>
      </c>
      <c r="H59" s="20">
        <f>IFERROR(VLOOKUP($E59,'Lesson Bank'!$A:$L,6,FALSE)&amp;"","")</f>
        <v/>
      </c>
      <c r="I59" s="20">
        <f>IFERROR(VLOOKUP($E59,'Lesson Bank'!$A:$L,8,FALSE)&amp;"","")</f>
        <v/>
      </c>
      <c r="J59" s="20">
        <f>IFERROR(VLOOKUP($E59,'Lesson Bank'!$A:$L,5,FALSE),$E59)</f>
        <v/>
      </c>
      <c r="K59" s="25" t="inlineStr">
        <is>
          <t>Half day for students (family conferences)</t>
        </is>
      </c>
      <c r="L59" s="20" t="inlineStr"/>
    </row>
    <row r="60">
      <c r="A60" s="23" t="n">
        <v>46455</v>
      </c>
      <c r="B60" s="20" t="inlineStr">
        <is>
          <t>Tue</t>
        </is>
      </c>
      <c r="C60" s="20" t="inlineStr">
        <is>
          <t>Q3</t>
        </is>
      </c>
      <c r="D60" s="20">
        <f>ROW()-1</f>
        <v/>
      </c>
      <c r="E60" s="24" t="inlineStr">
        <is>
          <t>Q3-MQ</t>
        </is>
      </c>
      <c r="F60" s="20">
        <f>IFERROR(VLOOKUP($E60,'Lesson Bank'!$A:$L,3,FALSE)&amp;"","")</f>
        <v/>
      </c>
      <c r="G60" s="20">
        <f>IFERROR(VLOOKUP($E60,'Lesson Bank'!$A:$L,4,FALSE)&amp;"","")</f>
        <v/>
      </c>
      <c r="H60" s="20">
        <f>IFERROR(VLOOKUP($E60,'Lesson Bank'!$A:$L,6,FALSE)&amp;"","")</f>
        <v/>
      </c>
      <c r="I60" s="20">
        <f>IFERROR(VLOOKUP($E60,'Lesson Bank'!$A:$L,8,FALSE)&amp;"","")</f>
        <v/>
      </c>
      <c r="J60" s="20">
        <f>IFERROR(VLOOKUP($E60,'Lesson Bank'!$A:$L,5,FALSE),$E60)</f>
        <v/>
      </c>
      <c r="K60" s="20" t="inlineStr"/>
      <c r="L60" s="20" t="inlineStr"/>
    </row>
    <row r="61">
      <c r="A61" s="23" t="n">
        <v>46457</v>
      </c>
      <c r="B61" s="20" t="inlineStr">
        <is>
          <t>Thu</t>
        </is>
      </c>
      <c r="C61" s="20" t="inlineStr">
        <is>
          <t>Q3</t>
        </is>
      </c>
      <c r="D61" s="20">
        <f>ROW()-1</f>
        <v/>
      </c>
      <c r="E61" s="24" t="inlineStr">
        <is>
          <t>U5-C3L5</t>
        </is>
      </c>
      <c r="F61" s="20">
        <f>IFERROR(VLOOKUP($E61,'Lesson Bank'!$A:$L,3,FALSE)&amp;"","")</f>
        <v/>
      </c>
      <c r="G61" s="20">
        <f>IFERROR(VLOOKUP($E61,'Lesson Bank'!$A:$L,4,FALSE)&amp;"","")</f>
        <v/>
      </c>
      <c r="H61" s="20">
        <f>IFERROR(VLOOKUP($E61,'Lesson Bank'!$A:$L,6,FALSE)&amp;"","")</f>
        <v/>
      </c>
      <c r="I61" s="20">
        <f>IFERROR(VLOOKUP($E61,'Lesson Bank'!$A:$L,8,FALSE)&amp;"","")</f>
        <v/>
      </c>
      <c r="J61" s="20">
        <f>IFERROR(VLOOKUP($E61,'Lesson Bank'!$A:$L,5,FALSE),$E61)</f>
        <v/>
      </c>
      <c r="K61" s="20" t="inlineStr"/>
      <c r="L61" s="20" t="inlineStr"/>
    </row>
    <row r="62">
      <c r="A62" s="23" t="n">
        <v>46461</v>
      </c>
      <c r="B62" s="20" t="inlineStr">
        <is>
          <t>Mon</t>
        </is>
      </c>
      <c r="C62" s="20" t="inlineStr">
        <is>
          <t>Q3</t>
        </is>
      </c>
      <c r="D62" s="20">
        <f>ROW()-1</f>
        <v/>
      </c>
      <c r="E62" s="24" t="inlineStr">
        <is>
          <t>U5-C4L1</t>
        </is>
      </c>
      <c r="F62" s="20">
        <f>IFERROR(VLOOKUP($E62,'Lesson Bank'!$A:$L,3,FALSE)&amp;"","")</f>
        <v/>
      </c>
      <c r="G62" s="20">
        <f>IFERROR(VLOOKUP($E62,'Lesson Bank'!$A:$L,4,FALSE)&amp;"","")</f>
        <v/>
      </c>
      <c r="H62" s="20">
        <f>IFERROR(VLOOKUP($E62,'Lesson Bank'!$A:$L,6,FALSE)&amp;"","")</f>
        <v/>
      </c>
      <c r="I62" s="20">
        <f>IFERROR(VLOOKUP($E62,'Lesson Bank'!$A:$L,8,FALSE)&amp;"","")</f>
        <v/>
      </c>
      <c r="J62" s="20">
        <f>IFERROR(VLOOKUP($E62,'Lesson Bank'!$A:$L,5,FALSE),$E62)</f>
        <v/>
      </c>
      <c r="K62" s="20" t="inlineStr"/>
      <c r="L62" s="20" t="inlineStr"/>
    </row>
    <row r="63">
      <c r="A63" s="23" t="n">
        <v>46463</v>
      </c>
      <c r="B63" s="20" t="inlineStr">
        <is>
          <t>Wed</t>
        </is>
      </c>
      <c r="C63" s="20" t="inlineStr">
        <is>
          <t>Q3</t>
        </is>
      </c>
      <c r="D63" s="20">
        <f>ROW()-1</f>
        <v/>
      </c>
      <c r="E63" s="24" t="inlineStr">
        <is>
          <t>U5-C4L2</t>
        </is>
      </c>
      <c r="F63" s="20">
        <f>IFERROR(VLOOKUP($E63,'Lesson Bank'!$A:$L,3,FALSE)&amp;"","")</f>
        <v/>
      </c>
      <c r="G63" s="20">
        <f>IFERROR(VLOOKUP($E63,'Lesson Bank'!$A:$L,4,FALSE)&amp;"","")</f>
        <v/>
      </c>
      <c r="H63" s="20">
        <f>IFERROR(VLOOKUP($E63,'Lesson Bank'!$A:$L,6,FALSE)&amp;"","")</f>
        <v/>
      </c>
      <c r="I63" s="20">
        <f>IFERROR(VLOOKUP($E63,'Lesson Bank'!$A:$L,8,FALSE)&amp;"","")</f>
        <v/>
      </c>
      <c r="J63" s="20">
        <f>IFERROR(VLOOKUP($E63,'Lesson Bank'!$A:$L,5,FALSE),$E63)</f>
        <v/>
      </c>
      <c r="K63" s="20" t="inlineStr"/>
      <c r="L63" s="20" t="inlineStr"/>
    </row>
    <row r="64">
      <c r="A64" s="23" t="n">
        <v>46465</v>
      </c>
      <c r="B64" s="20" t="inlineStr">
        <is>
          <t>Fri</t>
        </is>
      </c>
      <c r="C64" s="20" t="inlineStr">
        <is>
          <t>Q3</t>
        </is>
      </c>
      <c r="D64" s="20">
        <f>ROW()-1</f>
        <v/>
      </c>
      <c r="E64" s="24" t="inlineStr">
        <is>
          <t>U5-C4L3</t>
        </is>
      </c>
      <c r="F64" s="20">
        <f>IFERROR(VLOOKUP($E64,'Lesson Bank'!$A:$L,3,FALSE)&amp;"","")</f>
        <v/>
      </c>
      <c r="G64" s="20">
        <f>IFERROR(VLOOKUP($E64,'Lesson Bank'!$A:$L,4,FALSE)&amp;"","")</f>
        <v/>
      </c>
      <c r="H64" s="20">
        <f>IFERROR(VLOOKUP($E64,'Lesson Bank'!$A:$L,6,FALSE)&amp;"","")</f>
        <v/>
      </c>
      <c r="I64" s="20">
        <f>IFERROR(VLOOKUP($E64,'Lesson Bank'!$A:$L,8,FALSE)&amp;"","")</f>
        <v/>
      </c>
      <c r="J64" s="20">
        <f>IFERROR(VLOOKUP($E64,'Lesson Bank'!$A:$L,5,FALSE),$E64)</f>
        <v/>
      </c>
      <c r="K64" s="20" t="inlineStr"/>
      <c r="L64" s="20" t="inlineStr"/>
    </row>
    <row r="65">
      <c r="A65" s="23" t="n">
        <v>46469</v>
      </c>
      <c r="B65" s="20" t="inlineStr">
        <is>
          <t>Tue</t>
        </is>
      </c>
      <c r="C65" s="20" t="inlineStr">
        <is>
          <t>Q3</t>
        </is>
      </c>
      <c r="D65" s="20">
        <f>ROW()-1</f>
        <v/>
      </c>
      <c r="E65" s="24" t="inlineStr">
        <is>
          <t>U5-C4L4</t>
        </is>
      </c>
      <c r="F65" s="20">
        <f>IFERROR(VLOOKUP($E65,'Lesson Bank'!$A:$L,3,FALSE)&amp;"","")</f>
        <v/>
      </c>
      <c r="G65" s="20">
        <f>IFERROR(VLOOKUP($E65,'Lesson Bank'!$A:$L,4,FALSE)&amp;"","")</f>
        <v/>
      </c>
      <c r="H65" s="20">
        <f>IFERROR(VLOOKUP($E65,'Lesson Bank'!$A:$L,6,FALSE)&amp;"","")</f>
        <v/>
      </c>
      <c r="I65" s="20">
        <f>IFERROR(VLOOKUP($E65,'Lesson Bank'!$A:$L,8,FALSE)&amp;"","")</f>
        <v/>
      </c>
      <c r="J65" s="20">
        <f>IFERROR(VLOOKUP($E65,'Lesson Bank'!$A:$L,5,FALSE),$E65)</f>
        <v/>
      </c>
      <c r="K65" s="20" t="inlineStr"/>
      <c r="L65" s="20" t="inlineStr"/>
    </row>
    <row r="66">
      <c r="A66" s="23" t="n">
        <v>46471</v>
      </c>
      <c r="B66" s="20" t="inlineStr">
        <is>
          <t>Thu</t>
        </is>
      </c>
      <c r="C66" s="20" t="inlineStr">
        <is>
          <t>Q3</t>
        </is>
      </c>
      <c r="D66" s="20">
        <f>ROW()-1</f>
        <v/>
      </c>
      <c r="E66" s="24" t="inlineStr">
        <is>
          <t>U5-C4L5</t>
        </is>
      </c>
      <c r="F66" s="20">
        <f>IFERROR(VLOOKUP($E66,'Lesson Bank'!$A:$L,3,FALSE)&amp;"","")</f>
        <v/>
      </c>
      <c r="G66" s="20">
        <f>IFERROR(VLOOKUP($E66,'Lesson Bank'!$A:$L,4,FALSE)&amp;"","")</f>
        <v/>
      </c>
      <c r="H66" s="20">
        <f>IFERROR(VLOOKUP($E66,'Lesson Bank'!$A:$L,6,FALSE)&amp;"","")</f>
        <v/>
      </c>
      <c r="I66" s="20">
        <f>IFERROR(VLOOKUP($E66,'Lesson Bank'!$A:$L,8,FALSE)&amp;"","")</f>
        <v/>
      </c>
      <c r="J66" s="20">
        <f>IFERROR(VLOOKUP($E66,'Lesson Bank'!$A:$L,5,FALSE),$E66)</f>
        <v/>
      </c>
      <c r="K66" s="20" t="inlineStr"/>
      <c r="L66" s="20" t="inlineStr"/>
    </row>
    <row r="67">
      <c r="A67" s="23" t="n">
        <v>46475</v>
      </c>
      <c r="B67" s="20" t="inlineStr">
        <is>
          <t>Mon</t>
        </is>
      </c>
      <c r="C67" s="20" t="inlineStr">
        <is>
          <t>Q3</t>
        </is>
      </c>
      <c r="D67" s="20">
        <f>ROW()-1</f>
        <v/>
      </c>
      <c r="E67" s="24" t="inlineStr">
        <is>
          <t>Q3-BM</t>
        </is>
      </c>
      <c r="F67" s="20">
        <f>IFERROR(VLOOKUP($E67,'Lesson Bank'!$A:$L,3,FALSE)&amp;"","")</f>
        <v/>
      </c>
      <c r="G67" s="20">
        <f>IFERROR(VLOOKUP($E67,'Lesson Bank'!$A:$L,4,FALSE)&amp;"","")</f>
        <v/>
      </c>
      <c r="H67" s="20">
        <f>IFERROR(VLOOKUP($E67,'Lesson Bank'!$A:$L,6,FALSE)&amp;"","")</f>
        <v/>
      </c>
      <c r="I67" s="20">
        <f>IFERROR(VLOOKUP($E67,'Lesson Bank'!$A:$L,8,FALSE)&amp;"","")</f>
        <v/>
      </c>
      <c r="J67" s="20">
        <f>IFERROR(VLOOKUP($E67,'Lesson Bank'!$A:$L,5,FALSE),$E67)</f>
        <v/>
      </c>
      <c r="K67" s="20" t="inlineStr"/>
      <c r="L67" s="20" t="inlineStr"/>
    </row>
    <row r="68">
      <c r="A68" s="23" t="n">
        <v>46477</v>
      </c>
      <c r="B68" s="20" t="inlineStr">
        <is>
          <t>Wed</t>
        </is>
      </c>
      <c r="C68" s="20" t="inlineStr">
        <is>
          <t>Q3</t>
        </is>
      </c>
      <c r="D68" s="20">
        <f>ROW()-1</f>
        <v/>
      </c>
      <c r="E68" s="24" t="inlineStr">
        <is>
          <t>U5-C5L2</t>
        </is>
      </c>
      <c r="F68" s="20">
        <f>IFERROR(VLOOKUP($E68,'Lesson Bank'!$A:$L,3,FALSE)&amp;"","")</f>
        <v/>
      </c>
      <c r="G68" s="20">
        <f>IFERROR(VLOOKUP($E68,'Lesson Bank'!$A:$L,4,FALSE)&amp;"","")</f>
        <v/>
      </c>
      <c r="H68" s="20">
        <f>IFERROR(VLOOKUP($E68,'Lesson Bank'!$A:$L,6,FALSE)&amp;"","")</f>
        <v/>
      </c>
      <c r="I68" s="20">
        <f>IFERROR(VLOOKUP($E68,'Lesson Bank'!$A:$L,8,FALSE)&amp;"","")</f>
        <v/>
      </c>
      <c r="J68" s="20">
        <f>IFERROR(VLOOKUP($E68,'Lesson Bank'!$A:$L,5,FALSE),$E68)</f>
        <v/>
      </c>
      <c r="K68" s="20" t="inlineStr"/>
      <c r="L68" s="20" t="inlineStr"/>
    </row>
    <row r="69">
      <c r="A69" s="23" t="n">
        <v>46479</v>
      </c>
      <c r="B69" s="20" t="inlineStr">
        <is>
          <t>Fri</t>
        </is>
      </c>
      <c r="C69" s="20" t="inlineStr">
        <is>
          <t>Q3</t>
        </is>
      </c>
      <c r="D69" s="20">
        <f>ROW()-1</f>
        <v/>
      </c>
      <c r="E69" s="24" t="inlineStr">
        <is>
          <t>U5-C5L3</t>
        </is>
      </c>
      <c r="F69" s="20">
        <f>IFERROR(VLOOKUP($E69,'Lesson Bank'!$A:$L,3,FALSE)&amp;"","")</f>
        <v/>
      </c>
      <c r="G69" s="20">
        <f>IFERROR(VLOOKUP($E69,'Lesson Bank'!$A:$L,4,FALSE)&amp;"","")</f>
        <v/>
      </c>
      <c r="H69" s="20">
        <f>IFERROR(VLOOKUP($E69,'Lesson Bank'!$A:$L,6,FALSE)&amp;"","")</f>
        <v/>
      </c>
      <c r="I69" s="20">
        <f>IFERROR(VLOOKUP($E69,'Lesson Bank'!$A:$L,8,FALSE)&amp;"","")</f>
        <v/>
      </c>
      <c r="J69" s="20">
        <f>IFERROR(VLOOKUP($E69,'Lesson Bank'!$A:$L,5,FALSE),$E69)</f>
        <v/>
      </c>
      <c r="K69" s="25" t="inlineStr">
        <is>
          <t>Half day for students; last day of Q3</t>
        </is>
      </c>
      <c r="L69" s="20" t="inlineStr"/>
    </row>
    <row r="70">
      <c r="A70" s="23" t="n">
        <v>46491</v>
      </c>
      <c r="B70" s="20" t="inlineStr">
        <is>
          <t>Wed</t>
        </is>
      </c>
      <c r="C70" s="20" t="inlineStr">
        <is>
          <t>Q4</t>
        </is>
      </c>
      <c r="D70" s="20">
        <f>ROW()-1</f>
        <v/>
      </c>
      <c r="E70" s="24" t="inlineStr">
        <is>
          <t>U6-C1L1</t>
        </is>
      </c>
      <c r="F70" s="20">
        <f>IFERROR(VLOOKUP($E70,'Lesson Bank'!$A:$L,3,FALSE)&amp;"","")</f>
        <v/>
      </c>
      <c r="G70" s="20">
        <f>IFERROR(VLOOKUP($E70,'Lesson Bank'!$A:$L,4,FALSE)&amp;"","")</f>
        <v/>
      </c>
      <c r="H70" s="20">
        <f>IFERROR(VLOOKUP($E70,'Lesson Bank'!$A:$L,6,FALSE)&amp;"","")</f>
        <v/>
      </c>
      <c r="I70" s="20">
        <f>IFERROR(VLOOKUP($E70,'Lesson Bank'!$A:$L,8,FALSE)&amp;"","")</f>
        <v/>
      </c>
      <c r="J70" s="20">
        <f>IFERROR(VLOOKUP($E70,'Lesson Bank'!$A:$L,5,FALSE),$E70)</f>
        <v/>
      </c>
      <c r="K70" s="20" t="inlineStr"/>
      <c r="L70" s="20" t="inlineStr"/>
    </row>
    <row r="71">
      <c r="A71" s="23" t="n">
        <v>46493</v>
      </c>
      <c r="B71" s="20" t="inlineStr">
        <is>
          <t>Fri</t>
        </is>
      </c>
      <c r="C71" s="20" t="inlineStr">
        <is>
          <t>Q4</t>
        </is>
      </c>
      <c r="D71" s="20">
        <f>ROW()-1</f>
        <v/>
      </c>
      <c r="E71" s="24" t="inlineStr">
        <is>
          <t>U6-C1L2</t>
        </is>
      </c>
      <c r="F71" s="20">
        <f>IFERROR(VLOOKUP($E71,'Lesson Bank'!$A:$L,3,FALSE)&amp;"","")</f>
        <v/>
      </c>
      <c r="G71" s="20">
        <f>IFERROR(VLOOKUP($E71,'Lesson Bank'!$A:$L,4,FALSE)&amp;"","")</f>
        <v/>
      </c>
      <c r="H71" s="20">
        <f>IFERROR(VLOOKUP($E71,'Lesson Bank'!$A:$L,6,FALSE)&amp;"","")</f>
        <v/>
      </c>
      <c r="I71" s="20">
        <f>IFERROR(VLOOKUP($E71,'Lesson Bank'!$A:$L,8,FALSE)&amp;"","")</f>
        <v/>
      </c>
      <c r="J71" s="20">
        <f>IFERROR(VLOOKUP($E71,'Lesson Bank'!$A:$L,5,FALSE),$E71)</f>
        <v/>
      </c>
      <c r="K71" s="20" t="inlineStr"/>
      <c r="L71" s="20" t="inlineStr"/>
    </row>
    <row r="72">
      <c r="A72" s="23" t="n">
        <v>46497</v>
      </c>
      <c r="B72" s="20" t="inlineStr">
        <is>
          <t>Tue</t>
        </is>
      </c>
      <c r="C72" s="20" t="inlineStr">
        <is>
          <t>Q4</t>
        </is>
      </c>
      <c r="D72" s="20">
        <f>ROW()-1</f>
        <v/>
      </c>
      <c r="E72" s="24" t="inlineStr">
        <is>
          <t>U6-C1L3</t>
        </is>
      </c>
      <c r="F72" s="20">
        <f>IFERROR(VLOOKUP($E72,'Lesson Bank'!$A:$L,3,FALSE)&amp;"","")</f>
        <v/>
      </c>
      <c r="G72" s="20">
        <f>IFERROR(VLOOKUP($E72,'Lesson Bank'!$A:$L,4,FALSE)&amp;"","")</f>
        <v/>
      </c>
      <c r="H72" s="20">
        <f>IFERROR(VLOOKUP($E72,'Lesson Bank'!$A:$L,6,FALSE)&amp;"","")</f>
        <v/>
      </c>
      <c r="I72" s="20">
        <f>IFERROR(VLOOKUP($E72,'Lesson Bank'!$A:$L,8,FALSE)&amp;"","")</f>
        <v/>
      </c>
      <c r="J72" s="20">
        <f>IFERROR(VLOOKUP($E72,'Lesson Bank'!$A:$L,5,FALSE),$E72)</f>
        <v/>
      </c>
      <c r="K72" s="20" t="inlineStr"/>
      <c r="L72" s="20" t="inlineStr"/>
    </row>
    <row r="73">
      <c r="A73" s="23" t="n">
        <v>46499</v>
      </c>
      <c r="B73" s="20" t="inlineStr">
        <is>
          <t>Thu</t>
        </is>
      </c>
      <c r="C73" s="20" t="inlineStr">
        <is>
          <t>Q4</t>
        </is>
      </c>
      <c r="D73" s="20">
        <f>ROW()-1</f>
        <v/>
      </c>
      <c r="E73" s="24" t="inlineStr">
        <is>
          <t>U6-C1L4</t>
        </is>
      </c>
      <c r="F73" s="20">
        <f>IFERROR(VLOOKUP($E73,'Lesson Bank'!$A:$L,3,FALSE)&amp;"","")</f>
        <v/>
      </c>
      <c r="G73" s="20">
        <f>IFERROR(VLOOKUP($E73,'Lesson Bank'!$A:$L,4,FALSE)&amp;"","")</f>
        <v/>
      </c>
      <c r="H73" s="20">
        <f>IFERROR(VLOOKUP($E73,'Lesson Bank'!$A:$L,6,FALSE)&amp;"","")</f>
        <v/>
      </c>
      <c r="I73" s="20">
        <f>IFERROR(VLOOKUP($E73,'Lesson Bank'!$A:$L,8,FALSE)&amp;"","")</f>
        <v/>
      </c>
      <c r="J73" s="20">
        <f>IFERROR(VLOOKUP($E73,'Lesson Bank'!$A:$L,5,FALSE),$E73)</f>
        <v/>
      </c>
      <c r="K73" s="20" t="inlineStr"/>
      <c r="L73" s="20" t="inlineStr"/>
    </row>
    <row r="74">
      <c r="A74" s="23" t="n">
        <v>46503</v>
      </c>
      <c r="B74" s="20" t="inlineStr">
        <is>
          <t>Mon</t>
        </is>
      </c>
      <c r="C74" s="20" t="inlineStr">
        <is>
          <t>Q4</t>
        </is>
      </c>
      <c r="D74" s="20">
        <f>ROW()-1</f>
        <v/>
      </c>
      <c r="E74" s="24" t="inlineStr">
        <is>
          <t>U6-C1L5</t>
        </is>
      </c>
      <c r="F74" s="20">
        <f>IFERROR(VLOOKUP($E74,'Lesson Bank'!$A:$L,3,FALSE)&amp;"","")</f>
        <v/>
      </c>
      <c r="G74" s="20">
        <f>IFERROR(VLOOKUP($E74,'Lesson Bank'!$A:$L,4,FALSE)&amp;"","")</f>
        <v/>
      </c>
      <c r="H74" s="20">
        <f>IFERROR(VLOOKUP($E74,'Lesson Bank'!$A:$L,6,FALSE)&amp;"","")</f>
        <v/>
      </c>
      <c r="I74" s="20">
        <f>IFERROR(VLOOKUP($E74,'Lesson Bank'!$A:$L,8,FALSE)&amp;"","")</f>
        <v/>
      </c>
      <c r="J74" s="20">
        <f>IFERROR(VLOOKUP($E74,'Lesson Bank'!$A:$L,5,FALSE),$E74)</f>
        <v/>
      </c>
      <c r="K74" s="20" t="inlineStr"/>
      <c r="L74" s="20" t="inlineStr"/>
    </row>
    <row r="75">
      <c r="A75" s="23" t="n">
        <v>46505</v>
      </c>
      <c r="B75" s="20" t="inlineStr">
        <is>
          <t>Wed</t>
        </is>
      </c>
      <c r="C75" s="20" t="inlineStr">
        <is>
          <t>Q4</t>
        </is>
      </c>
      <c r="D75" s="20">
        <f>ROW()-1</f>
        <v/>
      </c>
      <c r="E75" s="24" t="inlineStr">
        <is>
          <t>U6-C2L1</t>
        </is>
      </c>
      <c r="F75" s="20">
        <f>IFERROR(VLOOKUP($E75,'Lesson Bank'!$A:$L,3,FALSE)&amp;"","")</f>
        <v/>
      </c>
      <c r="G75" s="20">
        <f>IFERROR(VLOOKUP($E75,'Lesson Bank'!$A:$L,4,FALSE)&amp;"","")</f>
        <v/>
      </c>
      <c r="H75" s="20">
        <f>IFERROR(VLOOKUP($E75,'Lesson Bank'!$A:$L,6,FALSE)&amp;"","")</f>
        <v/>
      </c>
      <c r="I75" s="20">
        <f>IFERROR(VLOOKUP($E75,'Lesson Bank'!$A:$L,8,FALSE)&amp;"","")</f>
        <v/>
      </c>
      <c r="J75" s="20">
        <f>IFERROR(VLOOKUP($E75,'Lesson Bank'!$A:$L,5,FALSE),$E75)</f>
        <v/>
      </c>
      <c r="K75" s="20" t="inlineStr"/>
      <c r="L75" s="20" t="inlineStr"/>
    </row>
    <row r="76">
      <c r="A76" s="23" t="n">
        <v>46507</v>
      </c>
      <c r="B76" s="20" t="inlineStr">
        <is>
          <t>Fri</t>
        </is>
      </c>
      <c r="C76" s="20" t="inlineStr">
        <is>
          <t>Q4</t>
        </is>
      </c>
      <c r="D76" s="20">
        <f>ROW()-1</f>
        <v/>
      </c>
      <c r="E76" s="24" t="inlineStr">
        <is>
          <t>U6-C2L2</t>
        </is>
      </c>
      <c r="F76" s="20">
        <f>IFERROR(VLOOKUP($E76,'Lesson Bank'!$A:$L,3,FALSE)&amp;"","")</f>
        <v/>
      </c>
      <c r="G76" s="20">
        <f>IFERROR(VLOOKUP($E76,'Lesson Bank'!$A:$L,4,FALSE)&amp;"","")</f>
        <v/>
      </c>
      <c r="H76" s="20">
        <f>IFERROR(VLOOKUP($E76,'Lesson Bank'!$A:$L,6,FALSE)&amp;"","")</f>
        <v/>
      </c>
      <c r="I76" s="20">
        <f>IFERROR(VLOOKUP($E76,'Lesson Bank'!$A:$L,8,FALSE)&amp;"","")</f>
        <v/>
      </c>
      <c r="J76" s="20">
        <f>IFERROR(VLOOKUP($E76,'Lesson Bank'!$A:$L,5,FALSE),$E76)</f>
        <v/>
      </c>
      <c r="K76" s="20" t="inlineStr"/>
      <c r="L76" s="20" t="inlineStr"/>
    </row>
    <row r="77">
      <c r="A77" s="23" t="n">
        <v>46511</v>
      </c>
      <c r="B77" s="20" t="inlineStr">
        <is>
          <t>Tue</t>
        </is>
      </c>
      <c r="C77" s="20" t="inlineStr">
        <is>
          <t>Q4</t>
        </is>
      </c>
      <c r="D77" s="20">
        <f>ROW()-1</f>
        <v/>
      </c>
      <c r="E77" s="24" t="inlineStr">
        <is>
          <t>U6-C2L3</t>
        </is>
      </c>
      <c r="F77" s="20">
        <f>IFERROR(VLOOKUP($E77,'Lesson Bank'!$A:$L,3,FALSE)&amp;"","")</f>
        <v/>
      </c>
      <c r="G77" s="20">
        <f>IFERROR(VLOOKUP($E77,'Lesson Bank'!$A:$L,4,FALSE)&amp;"","")</f>
        <v/>
      </c>
      <c r="H77" s="20">
        <f>IFERROR(VLOOKUP($E77,'Lesson Bank'!$A:$L,6,FALSE)&amp;"","")</f>
        <v/>
      </c>
      <c r="I77" s="20">
        <f>IFERROR(VLOOKUP($E77,'Lesson Bank'!$A:$L,8,FALSE)&amp;"","")</f>
        <v/>
      </c>
      <c r="J77" s="20">
        <f>IFERROR(VLOOKUP($E77,'Lesson Bank'!$A:$L,5,FALSE),$E77)</f>
        <v/>
      </c>
      <c r="K77" s="20" t="inlineStr"/>
      <c r="L77" s="20" t="inlineStr"/>
    </row>
    <row r="78">
      <c r="A78" s="23" t="n">
        <v>46513</v>
      </c>
      <c r="B78" s="20" t="inlineStr">
        <is>
          <t>Thu</t>
        </is>
      </c>
      <c r="C78" s="20" t="inlineStr">
        <is>
          <t>Q4</t>
        </is>
      </c>
      <c r="D78" s="20">
        <f>ROW()-1</f>
        <v/>
      </c>
      <c r="E78" s="24" t="inlineStr">
        <is>
          <t>U6-C2L4</t>
        </is>
      </c>
      <c r="F78" s="20">
        <f>IFERROR(VLOOKUP($E78,'Lesson Bank'!$A:$L,3,FALSE)&amp;"","")</f>
        <v/>
      </c>
      <c r="G78" s="20">
        <f>IFERROR(VLOOKUP($E78,'Lesson Bank'!$A:$L,4,FALSE)&amp;"","")</f>
        <v/>
      </c>
      <c r="H78" s="20">
        <f>IFERROR(VLOOKUP($E78,'Lesson Bank'!$A:$L,6,FALSE)&amp;"","")</f>
        <v/>
      </c>
      <c r="I78" s="20">
        <f>IFERROR(VLOOKUP($E78,'Lesson Bank'!$A:$L,8,FALSE)&amp;"","")</f>
        <v/>
      </c>
      <c r="J78" s="20">
        <f>IFERROR(VLOOKUP($E78,'Lesson Bank'!$A:$L,5,FALSE),$E78)</f>
        <v/>
      </c>
      <c r="K78" s="20" t="inlineStr"/>
      <c r="L78" s="20" t="inlineStr"/>
    </row>
    <row r="79">
      <c r="A79" s="23" t="n">
        <v>46517</v>
      </c>
      <c r="B79" s="20" t="inlineStr">
        <is>
          <t>Mon</t>
        </is>
      </c>
      <c r="C79" s="20" t="inlineStr">
        <is>
          <t>Q4</t>
        </is>
      </c>
      <c r="D79" s="20">
        <f>ROW()-1</f>
        <v/>
      </c>
      <c r="E79" s="24" t="inlineStr">
        <is>
          <t>U7-C1L1</t>
        </is>
      </c>
      <c r="F79" s="20">
        <f>IFERROR(VLOOKUP($E79,'Lesson Bank'!$A:$L,3,FALSE)&amp;"","")</f>
        <v/>
      </c>
      <c r="G79" s="20">
        <f>IFERROR(VLOOKUP($E79,'Lesson Bank'!$A:$L,4,FALSE)&amp;"","")</f>
        <v/>
      </c>
      <c r="H79" s="20">
        <f>IFERROR(VLOOKUP($E79,'Lesson Bank'!$A:$L,6,FALSE)&amp;"","")</f>
        <v/>
      </c>
      <c r="I79" s="20">
        <f>IFERROR(VLOOKUP($E79,'Lesson Bank'!$A:$L,8,FALSE)&amp;"","")</f>
        <v/>
      </c>
      <c r="J79" s="20">
        <f>IFERROR(VLOOKUP($E79,'Lesson Bank'!$A:$L,5,FALSE),$E79)</f>
        <v/>
      </c>
      <c r="K79" s="20" t="inlineStr"/>
      <c r="L79" s="20" t="inlineStr"/>
    </row>
    <row r="80">
      <c r="A80" s="23" t="n">
        <v>46519</v>
      </c>
      <c r="B80" s="20" t="inlineStr">
        <is>
          <t>Wed</t>
        </is>
      </c>
      <c r="C80" s="20" t="inlineStr">
        <is>
          <t>Q4</t>
        </is>
      </c>
      <c r="D80" s="20">
        <f>ROW()-1</f>
        <v/>
      </c>
      <c r="E80" s="24" t="inlineStr">
        <is>
          <t>U7-C1L2+3</t>
        </is>
      </c>
      <c r="F80" s="20">
        <f>IFERROR(VLOOKUP($E80,'Lesson Bank'!$A:$L,3,FALSE)&amp;"","")</f>
        <v/>
      </c>
      <c r="G80" s="20">
        <f>IFERROR(VLOOKUP($E80,'Lesson Bank'!$A:$L,4,FALSE)&amp;"","")</f>
        <v/>
      </c>
      <c r="H80" s="20">
        <f>IFERROR(VLOOKUP($E80,'Lesson Bank'!$A:$L,6,FALSE)&amp;"","")</f>
        <v/>
      </c>
      <c r="I80" s="20">
        <f>IFERROR(VLOOKUP($E80,'Lesson Bank'!$A:$L,8,FALSE)&amp;"","")</f>
        <v/>
      </c>
      <c r="J80" s="20">
        <f>IFERROR(VLOOKUP($E80,'Lesson Bank'!$A:$L,5,FALSE),$E80)</f>
        <v/>
      </c>
      <c r="K80" s="20" t="inlineStr"/>
      <c r="L80" s="20" t="inlineStr"/>
    </row>
    <row r="81">
      <c r="A81" s="23" t="n">
        <v>46521</v>
      </c>
      <c r="B81" s="20" t="inlineStr">
        <is>
          <t>Fri</t>
        </is>
      </c>
      <c r="C81" s="20" t="inlineStr">
        <is>
          <t>Q4</t>
        </is>
      </c>
      <c r="D81" s="20">
        <f>ROW()-1</f>
        <v/>
      </c>
      <c r="E81" s="24" t="inlineStr">
        <is>
          <t>U7-C1L4</t>
        </is>
      </c>
      <c r="F81" s="20">
        <f>IFERROR(VLOOKUP($E81,'Lesson Bank'!$A:$L,3,FALSE)&amp;"","")</f>
        <v/>
      </c>
      <c r="G81" s="20">
        <f>IFERROR(VLOOKUP($E81,'Lesson Bank'!$A:$L,4,FALSE)&amp;"","")</f>
        <v/>
      </c>
      <c r="H81" s="20">
        <f>IFERROR(VLOOKUP($E81,'Lesson Bank'!$A:$L,6,FALSE)&amp;"","")</f>
        <v/>
      </c>
      <c r="I81" s="20">
        <f>IFERROR(VLOOKUP($E81,'Lesson Bank'!$A:$L,8,FALSE)&amp;"","")</f>
        <v/>
      </c>
      <c r="J81" s="20">
        <f>IFERROR(VLOOKUP($E81,'Lesson Bank'!$A:$L,5,FALSE),$E81)</f>
        <v/>
      </c>
      <c r="K81" s="20" t="inlineStr"/>
      <c r="L81" s="20" t="inlineStr"/>
    </row>
    <row r="82">
      <c r="A82" s="23" t="n">
        <v>46525</v>
      </c>
      <c r="B82" s="20" t="inlineStr">
        <is>
          <t>Tue</t>
        </is>
      </c>
      <c r="C82" s="20" t="inlineStr">
        <is>
          <t>Q4</t>
        </is>
      </c>
      <c r="D82" s="20">
        <f>ROW()-1</f>
        <v/>
      </c>
      <c r="E82" s="24" t="inlineStr">
        <is>
          <t>Q4-MQ</t>
        </is>
      </c>
      <c r="F82" s="20">
        <f>IFERROR(VLOOKUP($E82,'Lesson Bank'!$A:$L,3,FALSE)&amp;"","")</f>
        <v/>
      </c>
      <c r="G82" s="20">
        <f>IFERROR(VLOOKUP($E82,'Lesson Bank'!$A:$L,4,FALSE)&amp;"","")</f>
        <v/>
      </c>
      <c r="H82" s="20">
        <f>IFERROR(VLOOKUP($E82,'Lesson Bank'!$A:$L,6,FALSE)&amp;"","")</f>
        <v/>
      </c>
      <c r="I82" s="20">
        <f>IFERROR(VLOOKUP($E82,'Lesson Bank'!$A:$L,8,FALSE)&amp;"","")</f>
        <v/>
      </c>
      <c r="J82" s="20">
        <f>IFERROR(VLOOKUP($E82,'Lesson Bank'!$A:$L,5,FALSE),$E82)</f>
        <v/>
      </c>
      <c r="K82" s="20" t="inlineStr"/>
      <c r="L82" s="20" t="inlineStr"/>
    </row>
    <row r="83">
      <c r="A83" s="23" t="n">
        <v>46527</v>
      </c>
      <c r="B83" s="20" t="inlineStr">
        <is>
          <t>Thu</t>
        </is>
      </c>
      <c r="C83" s="20" t="inlineStr">
        <is>
          <t>Q4</t>
        </is>
      </c>
      <c r="D83" s="20">
        <f>ROW()-1</f>
        <v/>
      </c>
      <c r="E83" s="24" t="inlineStr">
        <is>
          <t>U7-C1L5</t>
        </is>
      </c>
      <c r="F83" s="20">
        <f>IFERROR(VLOOKUP($E83,'Lesson Bank'!$A:$L,3,FALSE)&amp;"","")</f>
        <v/>
      </c>
      <c r="G83" s="20">
        <f>IFERROR(VLOOKUP($E83,'Lesson Bank'!$A:$L,4,FALSE)&amp;"","")</f>
        <v/>
      </c>
      <c r="H83" s="20">
        <f>IFERROR(VLOOKUP($E83,'Lesson Bank'!$A:$L,6,FALSE)&amp;"","")</f>
        <v/>
      </c>
      <c r="I83" s="20">
        <f>IFERROR(VLOOKUP($E83,'Lesson Bank'!$A:$L,8,FALSE)&amp;"","")</f>
        <v/>
      </c>
      <c r="J83" s="20">
        <f>IFERROR(VLOOKUP($E83,'Lesson Bank'!$A:$L,5,FALSE),$E83)</f>
        <v/>
      </c>
      <c r="K83" s="20" t="inlineStr"/>
      <c r="L83" s="20" t="inlineStr"/>
    </row>
    <row r="84">
      <c r="A84" s="23" t="n">
        <v>46531</v>
      </c>
      <c r="B84" s="20" t="inlineStr">
        <is>
          <t>Mon</t>
        </is>
      </c>
      <c r="C84" s="20" t="inlineStr">
        <is>
          <t>Q4</t>
        </is>
      </c>
      <c r="D84" s="20">
        <f>ROW()-1</f>
        <v/>
      </c>
      <c r="E84" s="24" t="inlineStr">
        <is>
          <t>U7-C2L1</t>
        </is>
      </c>
      <c r="F84" s="20">
        <f>IFERROR(VLOOKUP($E84,'Lesson Bank'!$A:$L,3,FALSE)&amp;"","")</f>
        <v/>
      </c>
      <c r="G84" s="20">
        <f>IFERROR(VLOOKUP($E84,'Lesson Bank'!$A:$L,4,FALSE)&amp;"","")</f>
        <v/>
      </c>
      <c r="H84" s="20">
        <f>IFERROR(VLOOKUP($E84,'Lesson Bank'!$A:$L,6,FALSE)&amp;"","")</f>
        <v/>
      </c>
      <c r="I84" s="20">
        <f>IFERROR(VLOOKUP($E84,'Lesson Bank'!$A:$L,8,FALSE)&amp;"","")</f>
        <v/>
      </c>
      <c r="J84" s="20">
        <f>IFERROR(VLOOKUP($E84,'Lesson Bank'!$A:$L,5,FALSE),$E84)</f>
        <v/>
      </c>
      <c r="K84" s="20" t="inlineStr"/>
      <c r="L84" s="20" t="inlineStr"/>
    </row>
    <row r="85">
      <c r="A85" s="23" t="n">
        <v>46533</v>
      </c>
      <c r="B85" s="20" t="inlineStr">
        <is>
          <t>Wed</t>
        </is>
      </c>
      <c r="C85" s="20" t="inlineStr">
        <is>
          <t>Q4</t>
        </is>
      </c>
      <c r="D85" s="20">
        <f>ROW()-1</f>
        <v/>
      </c>
      <c r="E85" s="24" t="inlineStr">
        <is>
          <t>U7-C2L2</t>
        </is>
      </c>
      <c r="F85" s="20">
        <f>IFERROR(VLOOKUP($E85,'Lesson Bank'!$A:$L,3,FALSE)&amp;"","")</f>
        <v/>
      </c>
      <c r="G85" s="20">
        <f>IFERROR(VLOOKUP($E85,'Lesson Bank'!$A:$L,4,FALSE)&amp;"","")</f>
        <v/>
      </c>
      <c r="H85" s="20">
        <f>IFERROR(VLOOKUP($E85,'Lesson Bank'!$A:$L,6,FALSE)&amp;"","")</f>
        <v/>
      </c>
      <c r="I85" s="20">
        <f>IFERROR(VLOOKUP($E85,'Lesson Bank'!$A:$L,8,FALSE)&amp;"","")</f>
        <v/>
      </c>
      <c r="J85" s="20">
        <f>IFERROR(VLOOKUP($E85,'Lesson Bank'!$A:$L,5,FALSE),$E85)</f>
        <v/>
      </c>
      <c r="K85" s="20" t="inlineStr"/>
      <c r="L85" s="20" t="inlineStr"/>
    </row>
    <row r="86">
      <c r="A86" s="23" t="n">
        <v>46535</v>
      </c>
      <c r="B86" s="20" t="inlineStr">
        <is>
          <t>Fri</t>
        </is>
      </c>
      <c r="C86" s="20" t="inlineStr">
        <is>
          <t>Q4</t>
        </is>
      </c>
      <c r="D86" s="20">
        <f>ROW()-1</f>
        <v/>
      </c>
      <c r="E86" s="24" t="inlineStr">
        <is>
          <t>U7-C2L3</t>
        </is>
      </c>
      <c r="F86" s="20">
        <f>IFERROR(VLOOKUP($E86,'Lesson Bank'!$A:$L,3,FALSE)&amp;"","")</f>
        <v/>
      </c>
      <c r="G86" s="20">
        <f>IFERROR(VLOOKUP($E86,'Lesson Bank'!$A:$L,4,FALSE)&amp;"","")</f>
        <v/>
      </c>
      <c r="H86" s="20">
        <f>IFERROR(VLOOKUP($E86,'Lesson Bank'!$A:$L,6,FALSE)&amp;"","")</f>
        <v/>
      </c>
      <c r="I86" s="20">
        <f>IFERROR(VLOOKUP($E86,'Lesson Bank'!$A:$L,8,FALSE)&amp;"","")</f>
        <v/>
      </c>
      <c r="J86" s="20">
        <f>IFERROR(VLOOKUP($E86,'Lesson Bank'!$A:$L,5,FALSE),$E86)</f>
        <v/>
      </c>
      <c r="K86" s="25" t="inlineStr">
        <is>
          <t>Half day for students</t>
        </is>
      </c>
      <c r="L86" s="20" t="inlineStr"/>
    </row>
    <row r="87">
      <c r="A87" s="23" t="n">
        <v>46540</v>
      </c>
      <c r="B87" s="20" t="inlineStr">
        <is>
          <t>Wed</t>
        </is>
      </c>
      <c r="C87" s="20" t="inlineStr">
        <is>
          <t>Q4</t>
        </is>
      </c>
      <c r="D87" s="20">
        <f>ROW()-1</f>
        <v/>
      </c>
      <c r="E87" s="24" t="inlineStr">
        <is>
          <t>FLEX</t>
        </is>
      </c>
      <c r="F87" s="20">
        <f>IFERROR(VLOOKUP($E87,'Lesson Bank'!$A:$L,3,FALSE)&amp;"","")</f>
        <v/>
      </c>
      <c r="G87" s="20">
        <f>IFERROR(VLOOKUP($E87,'Lesson Bank'!$A:$L,4,FALSE)&amp;"","")</f>
        <v/>
      </c>
      <c r="H87" s="20">
        <f>IFERROR(VLOOKUP($E87,'Lesson Bank'!$A:$L,6,FALSE)&amp;"","")</f>
        <v/>
      </c>
      <c r="I87" s="20">
        <f>IFERROR(VLOOKUP($E87,'Lesson Bank'!$A:$L,8,FALSE)&amp;"","")</f>
        <v/>
      </c>
      <c r="J87" s="20">
        <f>IFERROR(VLOOKUP($E87,'Lesson Bank'!$A:$L,5,FALSE),$E87)</f>
        <v/>
      </c>
      <c r="K87" s="20" t="inlineStr"/>
      <c r="L87" s="20" t="inlineStr"/>
    </row>
    <row r="88">
      <c r="A88" s="26" t="n">
        <v>46542</v>
      </c>
      <c r="B88" s="20" t="inlineStr">
        <is>
          <t>Fri</t>
        </is>
      </c>
      <c r="C88" s="20" t="inlineStr">
        <is>
          <t>Q4</t>
        </is>
      </c>
      <c r="D88" s="20">
        <f>ROW()-1</f>
        <v/>
      </c>
      <c r="E88" s="24" t="inlineStr">
        <is>
          <t>Q4-BM</t>
        </is>
      </c>
      <c r="F88" s="20">
        <f>IFERROR(VLOOKUP($E88,'Lesson Bank'!$A:$L,3,FALSE)&amp;"","")</f>
        <v/>
      </c>
      <c r="G88" s="20">
        <f>IFERROR(VLOOKUP($E88,'Lesson Bank'!$A:$L,4,FALSE)&amp;"","")</f>
        <v/>
      </c>
      <c r="H88" s="20">
        <f>IFERROR(VLOOKUP($E88,'Lesson Bank'!$A:$L,6,FALSE)&amp;"","")</f>
        <v/>
      </c>
      <c r="I88" s="20">
        <f>IFERROR(VLOOKUP($E88,'Lesson Bank'!$A:$L,8,FALSE)&amp;"","")</f>
        <v/>
      </c>
      <c r="J88" s="20">
        <f>IFERROR(VLOOKUP($E88,'Lesson Bank'!$A:$L,5,FALSE),$E88)</f>
        <v/>
      </c>
      <c r="K88" s="20" t="inlineStr">
        <is>
          <t>Exam day (half day). Benchmark window has no other Purple class.</t>
        </is>
      </c>
      <c r="L88" s="20" t="inlineStr"/>
    </row>
  </sheetData>
  <conditionalFormatting sqref="B2:D288">
    <cfRule type="expression" priority="1" dxfId="0">
      <formula>OR(LEFT($E2,1)="Q",$E2="LPA")</formula>
    </cfRule>
  </conditionalFormatting>
  <conditionalFormatting sqref="F2:J288">
    <cfRule type="expression" priority="2" dxfId="1">
      <formula>OR(LEFT($E2,1)="Q",$E2="LPA")</formula>
    </cfRule>
  </conditionalFormatting>
  <dataValidations count="1">
    <dataValidation sqref="E2:E288" showDropDown="0" showInputMessage="0" showErrorMessage="0" allowBlank="1" type="list">
      <formula1>='Lesson Bank'!$A$2:$A$300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7"/>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8" customWidth="1" min="3" max="3"/>
    <col width="7" customWidth="1" min="4" max="4"/>
    <col width="13" customWidth="1" min="5" max="5"/>
    <col width="22" customWidth="1" min="6" max="6"/>
    <col width="22" customWidth="1" min="7" max="7"/>
    <col width="50" customWidth="1" min="8" max="8"/>
    <col width="24" customWidth="1" min="9" max="9"/>
    <col width="13" customWidth="1" min="10" max="10"/>
    <col width="30" customWidth="1" min="11" max="11"/>
    <col width="30" customWidth="1" min="12" max="12"/>
  </cols>
  <sheetData>
    <row r="1">
      <c r="A1" s="19" t="inlineStr">
        <is>
          <t>Date</t>
        </is>
      </c>
      <c r="B1" s="19" t="inlineStr">
        <is>
          <t>Day</t>
        </is>
      </c>
      <c r="C1" s="19" t="inlineStr">
        <is>
          <t>Quarter</t>
        </is>
      </c>
      <c r="D1" s="19" t="inlineStr">
        <is>
          <t>Class #</t>
        </is>
      </c>
      <c r="E1" s="22" t="inlineStr">
        <is>
          <t>Lesson ID</t>
        </is>
      </c>
      <c r="F1" s="19" t="inlineStr">
        <is>
          <t>Unit</t>
        </is>
      </c>
      <c r="G1" s="19" t="inlineStr">
        <is>
          <t>Lesson</t>
        </is>
      </c>
      <c r="H1" s="19" t="inlineStr">
        <is>
          <t>Lesson focus</t>
        </is>
      </c>
      <c r="I1" s="19" t="inlineStr">
        <is>
          <t>Standards</t>
        </is>
      </c>
      <c r="J1" s="19" t="inlineStr">
        <is>
          <t>Calendar label</t>
        </is>
      </c>
      <c r="K1" s="19" t="inlineStr">
        <is>
          <t>Calendar notes</t>
        </is>
      </c>
      <c r="L1" s="19" t="inlineStr">
        <is>
          <t>My notes</t>
        </is>
      </c>
    </row>
    <row r="2">
      <c r="A2" s="27" t="n">
        <v>46259</v>
      </c>
      <c r="B2" s="20" t="inlineStr">
        <is>
          <t>Tue</t>
        </is>
      </c>
      <c r="C2" s="20" t="inlineStr">
        <is>
          <t>Q1</t>
        </is>
      </c>
      <c r="D2" s="20">
        <f>ROW()-1</f>
        <v/>
      </c>
      <c r="E2" s="24" t="inlineStr">
        <is>
          <t>U1-W1L1+2</t>
        </is>
      </c>
      <c r="F2" s="20">
        <f>IFERROR(VLOOKUP($E2,'Lesson Bank'!$A:$L,3,FALSE)&amp;"","")</f>
        <v/>
      </c>
      <c r="G2" s="20">
        <f>IFERROR(VLOOKUP($E2,'Lesson Bank'!$A:$L,4,FALSE)&amp;"","")</f>
        <v/>
      </c>
      <c r="H2" s="20">
        <f>IFERROR(VLOOKUP($E2,'Lesson Bank'!$A:$L,6,FALSE)&amp;"","")</f>
        <v/>
      </c>
      <c r="I2" s="20">
        <f>IFERROR(VLOOKUP($E2,'Lesson Bank'!$A:$L,8,FALSE)&amp;"","")</f>
        <v/>
      </c>
      <c r="J2" s="20">
        <f>IFERROR(VLOOKUP($E2,'Lesson Bank'!$A:$L,5,FALSE),$E2)</f>
        <v/>
      </c>
      <c r="K2" s="20" t="inlineStr"/>
      <c r="L2" s="20" t="inlineStr"/>
    </row>
    <row r="3">
      <c r="A3" s="27" t="n">
        <v>46261</v>
      </c>
      <c r="B3" s="20" t="inlineStr">
        <is>
          <t>Thu</t>
        </is>
      </c>
      <c r="C3" s="20" t="inlineStr">
        <is>
          <t>Q1</t>
        </is>
      </c>
      <c r="D3" s="20">
        <f>ROW()-1</f>
        <v/>
      </c>
      <c r="E3" s="24" t="inlineStr">
        <is>
          <t>U1-W2L1</t>
        </is>
      </c>
      <c r="F3" s="20">
        <f>IFERROR(VLOOKUP($E3,'Lesson Bank'!$A:$L,3,FALSE)&amp;"","")</f>
        <v/>
      </c>
      <c r="G3" s="20">
        <f>IFERROR(VLOOKUP($E3,'Lesson Bank'!$A:$L,4,FALSE)&amp;"","")</f>
        <v/>
      </c>
      <c r="H3" s="20">
        <f>IFERROR(VLOOKUP($E3,'Lesson Bank'!$A:$L,6,FALSE)&amp;"","")</f>
        <v/>
      </c>
      <c r="I3" s="20">
        <f>IFERROR(VLOOKUP($E3,'Lesson Bank'!$A:$L,8,FALSE)&amp;"","")</f>
        <v/>
      </c>
      <c r="J3" s="20">
        <f>IFERROR(VLOOKUP($E3,'Lesson Bank'!$A:$L,5,FALSE),$E3)</f>
        <v/>
      </c>
      <c r="K3" s="20" t="inlineStr"/>
      <c r="L3" s="20" t="inlineStr"/>
    </row>
    <row r="4">
      <c r="A4" s="27" t="n">
        <v>46265</v>
      </c>
      <c r="B4" s="20" t="inlineStr">
        <is>
          <t>Mon</t>
        </is>
      </c>
      <c r="C4" s="20" t="inlineStr">
        <is>
          <t>Q1</t>
        </is>
      </c>
      <c r="D4" s="20">
        <f>ROW()-1</f>
        <v/>
      </c>
      <c r="E4" s="24" t="inlineStr">
        <is>
          <t>U1-W2L2</t>
        </is>
      </c>
      <c r="F4" s="20">
        <f>IFERROR(VLOOKUP($E4,'Lesson Bank'!$A:$L,3,FALSE)&amp;"","")</f>
        <v/>
      </c>
      <c r="G4" s="20">
        <f>IFERROR(VLOOKUP($E4,'Lesson Bank'!$A:$L,4,FALSE)&amp;"","")</f>
        <v/>
      </c>
      <c r="H4" s="20">
        <f>IFERROR(VLOOKUP($E4,'Lesson Bank'!$A:$L,6,FALSE)&amp;"","")</f>
        <v/>
      </c>
      <c r="I4" s="20">
        <f>IFERROR(VLOOKUP($E4,'Lesson Bank'!$A:$L,8,FALSE)&amp;"","")</f>
        <v/>
      </c>
      <c r="J4" s="20">
        <f>IFERROR(VLOOKUP($E4,'Lesson Bank'!$A:$L,5,FALSE),$E4)</f>
        <v/>
      </c>
      <c r="K4" s="20" t="inlineStr"/>
      <c r="L4" s="20" t="inlineStr"/>
    </row>
    <row r="5">
      <c r="A5" s="27" t="n">
        <v>46267</v>
      </c>
      <c r="B5" s="20" t="inlineStr">
        <is>
          <t>Wed</t>
        </is>
      </c>
      <c r="C5" s="20" t="inlineStr">
        <is>
          <t>Q1</t>
        </is>
      </c>
      <c r="D5" s="20">
        <f>ROW()-1</f>
        <v/>
      </c>
      <c r="E5" s="24" t="inlineStr">
        <is>
          <t>U1-W2L3</t>
        </is>
      </c>
      <c r="F5" s="20">
        <f>IFERROR(VLOOKUP($E5,'Lesson Bank'!$A:$L,3,FALSE)&amp;"","")</f>
        <v/>
      </c>
      <c r="G5" s="20">
        <f>IFERROR(VLOOKUP($E5,'Lesson Bank'!$A:$L,4,FALSE)&amp;"","")</f>
        <v/>
      </c>
      <c r="H5" s="20">
        <f>IFERROR(VLOOKUP($E5,'Lesson Bank'!$A:$L,6,FALSE)&amp;"","")</f>
        <v/>
      </c>
      <c r="I5" s="20">
        <f>IFERROR(VLOOKUP($E5,'Lesson Bank'!$A:$L,8,FALSE)&amp;"","")</f>
        <v/>
      </c>
      <c r="J5" s="20">
        <f>IFERROR(VLOOKUP($E5,'Lesson Bank'!$A:$L,5,FALSE),$E5)</f>
        <v/>
      </c>
      <c r="K5" s="20" t="inlineStr"/>
      <c r="L5" s="20" t="inlineStr"/>
    </row>
    <row r="6">
      <c r="A6" s="27" t="n">
        <v>46273</v>
      </c>
      <c r="B6" s="20" t="inlineStr">
        <is>
          <t>Tue</t>
        </is>
      </c>
      <c r="C6" s="20" t="inlineStr">
        <is>
          <t>Q1</t>
        </is>
      </c>
      <c r="D6" s="20">
        <f>ROW()-1</f>
        <v/>
      </c>
      <c r="E6" s="24" t="inlineStr">
        <is>
          <t>U1-W3L1</t>
        </is>
      </c>
      <c r="F6" s="20">
        <f>IFERROR(VLOOKUP($E6,'Lesson Bank'!$A:$L,3,FALSE)&amp;"","")</f>
        <v/>
      </c>
      <c r="G6" s="20">
        <f>IFERROR(VLOOKUP($E6,'Lesson Bank'!$A:$L,4,FALSE)&amp;"","")</f>
        <v/>
      </c>
      <c r="H6" s="20">
        <f>IFERROR(VLOOKUP($E6,'Lesson Bank'!$A:$L,6,FALSE)&amp;"","")</f>
        <v/>
      </c>
      <c r="I6" s="20">
        <f>IFERROR(VLOOKUP($E6,'Lesson Bank'!$A:$L,8,FALSE)&amp;"","")</f>
        <v/>
      </c>
      <c r="J6" s="20">
        <f>IFERROR(VLOOKUP($E6,'Lesson Bank'!$A:$L,5,FALSE),$E6)</f>
        <v/>
      </c>
      <c r="K6" s="20" t="inlineStr"/>
      <c r="L6" s="20" t="inlineStr"/>
    </row>
    <row r="7">
      <c r="A7" s="27" t="n">
        <v>46275</v>
      </c>
      <c r="B7" s="20" t="inlineStr">
        <is>
          <t>Thu</t>
        </is>
      </c>
      <c r="C7" s="20" t="inlineStr">
        <is>
          <t>Q1</t>
        </is>
      </c>
      <c r="D7" s="20">
        <f>ROW()-1</f>
        <v/>
      </c>
      <c r="E7" s="24" t="inlineStr">
        <is>
          <t>U1-W3L2</t>
        </is>
      </c>
      <c r="F7" s="20">
        <f>IFERROR(VLOOKUP($E7,'Lesson Bank'!$A:$L,3,FALSE)&amp;"","")</f>
        <v/>
      </c>
      <c r="G7" s="20">
        <f>IFERROR(VLOOKUP($E7,'Lesson Bank'!$A:$L,4,FALSE)&amp;"","")</f>
        <v/>
      </c>
      <c r="H7" s="20">
        <f>IFERROR(VLOOKUP($E7,'Lesson Bank'!$A:$L,6,FALSE)&amp;"","")</f>
        <v/>
      </c>
      <c r="I7" s="20">
        <f>IFERROR(VLOOKUP($E7,'Lesson Bank'!$A:$L,8,FALSE)&amp;"","")</f>
        <v/>
      </c>
      <c r="J7" s="20">
        <f>IFERROR(VLOOKUP($E7,'Lesson Bank'!$A:$L,5,FALSE),$E7)</f>
        <v/>
      </c>
      <c r="K7" s="20" t="inlineStr"/>
      <c r="L7" s="20" t="inlineStr"/>
    </row>
    <row r="8">
      <c r="A8" s="27" t="n">
        <v>46279</v>
      </c>
      <c r="B8" s="20" t="inlineStr">
        <is>
          <t>Mon</t>
        </is>
      </c>
      <c r="C8" s="20" t="inlineStr">
        <is>
          <t>Q1</t>
        </is>
      </c>
      <c r="D8" s="20">
        <f>ROW()-1</f>
        <v/>
      </c>
      <c r="E8" s="24" t="inlineStr">
        <is>
          <t>U1-W4L1</t>
        </is>
      </c>
      <c r="F8" s="20">
        <f>IFERROR(VLOOKUP($E8,'Lesson Bank'!$A:$L,3,FALSE)&amp;"","")</f>
        <v/>
      </c>
      <c r="G8" s="20">
        <f>IFERROR(VLOOKUP($E8,'Lesson Bank'!$A:$L,4,FALSE)&amp;"","")</f>
        <v/>
      </c>
      <c r="H8" s="20">
        <f>IFERROR(VLOOKUP($E8,'Lesson Bank'!$A:$L,6,FALSE)&amp;"","")</f>
        <v/>
      </c>
      <c r="I8" s="20">
        <f>IFERROR(VLOOKUP($E8,'Lesson Bank'!$A:$L,8,FALSE)&amp;"","")</f>
        <v/>
      </c>
      <c r="J8" s="20">
        <f>IFERROR(VLOOKUP($E8,'Lesson Bank'!$A:$L,5,FALSE),$E8)</f>
        <v/>
      </c>
      <c r="K8" s="20" t="inlineStr"/>
      <c r="L8" s="20" t="inlineStr"/>
    </row>
    <row r="9">
      <c r="A9" s="27" t="n">
        <v>46281</v>
      </c>
      <c r="B9" s="20" t="inlineStr">
        <is>
          <t>Wed</t>
        </is>
      </c>
      <c r="C9" s="20" t="inlineStr">
        <is>
          <t>Q1</t>
        </is>
      </c>
      <c r="D9" s="20">
        <f>ROW()-1</f>
        <v/>
      </c>
      <c r="E9" s="24" t="inlineStr">
        <is>
          <t>U1-W4L2</t>
        </is>
      </c>
      <c r="F9" s="20">
        <f>IFERROR(VLOOKUP($E9,'Lesson Bank'!$A:$L,3,FALSE)&amp;"","")</f>
        <v/>
      </c>
      <c r="G9" s="20">
        <f>IFERROR(VLOOKUP($E9,'Lesson Bank'!$A:$L,4,FALSE)&amp;"","")</f>
        <v/>
      </c>
      <c r="H9" s="20">
        <f>IFERROR(VLOOKUP($E9,'Lesson Bank'!$A:$L,6,FALSE)&amp;"","")</f>
        <v/>
      </c>
      <c r="I9" s="20">
        <f>IFERROR(VLOOKUP($E9,'Lesson Bank'!$A:$L,8,FALSE)&amp;"","")</f>
        <v/>
      </c>
      <c r="J9" s="20">
        <f>IFERROR(VLOOKUP($E9,'Lesson Bank'!$A:$L,5,FALSE),$E9)</f>
        <v/>
      </c>
      <c r="K9" s="20" t="inlineStr"/>
      <c r="L9" s="20" t="inlineStr"/>
    </row>
    <row r="10">
      <c r="A10" s="27" t="n">
        <v>46283</v>
      </c>
      <c r="B10" s="20" t="inlineStr">
        <is>
          <t>Fri</t>
        </is>
      </c>
      <c r="C10" s="20" t="inlineStr">
        <is>
          <t>Q1</t>
        </is>
      </c>
      <c r="D10" s="20">
        <f>ROW()-1</f>
        <v/>
      </c>
      <c r="E10" s="24" t="inlineStr">
        <is>
          <t>U1-W4L3</t>
        </is>
      </c>
      <c r="F10" s="20">
        <f>IFERROR(VLOOKUP($E10,'Lesson Bank'!$A:$L,3,FALSE)&amp;"","")</f>
        <v/>
      </c>
      <c r="G10" s="20">
        <f>IFERROR(VLOOKUP($E10,'Lesson Bank'!$A:$L,4,FALSE)&amp;"","")</f>
        <v/>
      </c>
      <c r="H10" s="20">
        <f>IFERROR(VLOOKUP($E10,'Lesson Bank'!$A:$L,6,FALSE)&amp;"","")</f>
        <v/>
      </c>
      <c r="I10" s="20">
        <f>IFERROR(VLOOKUP($E10,'Lesson Bank'!$A:$L,8,FALSE)&amp;"","")</f>
        <v/>
      </c>
      <c r="J10" s="20">
        <f>IFERROR(VLOOKUP($E10,'Lesson Bank'!$A:$L,5,FALSE),$E10)</f>
        <v/>
      </c>
      <c r="K10" s="20" t="inlineStr"/>
      <c r="L10" s="20" t="inlineStr"/>
    </row>
    <row r="11">
      <c r="A11" s="27" t="n">
        <v>46287</v>
      </c>
      <c r="B11" s="20" t="inlineStr">
        <is>
          <t>Tue</t>
        </is>
      </c>
      <c r="C11" s="20" t="inlineStr">
        <is>
          <t>Q1</t>
        </is>
      </c>
      <c r="D11" s="20">
        <f>ROW()-1</f>
        <v/>
      </c>
      <c r="E11" s="24" t="inlineStr">
        <is>
          <t>U1-W5L1</t>
        </is>
      </c>
      <c r="F11" s="20">
        <f>IFERROR(VLOOKUP($E11,'Lesson Bank'!$A:$L,3,FALSE)&amp;"","")</f>
        <v/>
      </c>
      <c r="G11" s="20">
        <f>IFERROR(VLOOKUP($E11,'Lesson Bank'!$A:$L,4,FALSE)&amp;"","")</f>
        <v/>
      </c>
      <c r="H11" s="20">
        <f>IFERROR(VLOOKUP($E11,'Lesson Bank'!$A:$L,6,FALSE)&amp;"","")</f>
        <v/>
      </c>
      <c r="I11" s="20">
        <f>IFERROR(VLOOKUP($E11,'Lesson Bank'!$A:$L,8,FALSE)&amp;"","")</f>
        <v/>
      </c>
      <c r="J11" s="20">
        <f>IFERROR(VLOOKUP($E11,'Lesson Bank'!$A:$L,5,FALSE),$E11)</f>
        <v/>
      </c>
      <c r="K11" s="20" t="inlineStr"/>
      <c r="L11" s="20" t="inlineStr"/>
    </row>
    <row r="12">
      <c r="A12" s="27" t="n">
        <v>46289</v>
      </c>
      <c r="B12" s="20" t="inlineStr">
        <is>
          <t>Thu</t>
        </is>
      </c>
      <c r="C12" s="20" t="inlineStr">
        <is>
          <t>Q1</t>
        </is>
      </c>
      <c r="D12" s="20">
        <f>ROW()-1</f>
        <v/>
      </c>
      <c r="E12" s="24" t="inlineStr">
        <is>
          <t>Q1-MQ</t>
        </is>
      </c>
      <c r="F12" s="20">
        <f>IFERROR(VLOOKUP($E12,'Lesson Bank'!$A:$L,3,FALSE)&amp;"","")</f>
        <v/>
      </c>
      <c r="G12" s="20">
        <f>IFERROR(VLOOKUP($E12,'Lesson Bank'!$A:$L,4,FALSE)&amp;"","")</f>
        <v/>
      </c>
      <c r="H12" s="20">
        <f>IFERROR(VLOOKUP($E12,'Lesson Bank'!$A:$L,6,FALSE)&amp;"","")</f>
        <v/>
      </c>
      <c r="I12" s="20">
        <f>IFERROR(VLOOKUP($E12,'Lesson Bank'!$A:$L,8,FALSE)&amp;"","")</f>
        <v/>
      </c>
      <c r="J12" s="20">
        <f>IFERROR(VLOOKUP($E12,'Lesson Bank'!$A:$L,5,FALSE),$E12)</f>
        <v/>
      </c>
      <c r="K12" s="20" t="inlineStr"/>
      <c r="L12" s="20" t="inlineStr"/>
    </row>
    <row r="13">
      <c r="A13" s="27" t="n">
        <v>46293</v>
      </c>
      <c r="B13" s="20" t="inlineStr">
        <is>
          <t>Mon</t>
        </is>
      </c>
      <c r="C13" s="20" t="inlineStr">
        <is>
          <t>Q1</t>
        </is>
      </c>
      <c r="D13" s="20">
        <f>ROW()-1</f>
        <v/>
      </c>
      <c r="E13" s="24" t="inlineStr">
        <is>
          <t>U1-W5L2</t>
        </is>
      </c>
      <c r="F13" s="20">
        <f>IFERROR(VLOOKUP($E13,'Lesson Bank'!$A:$L,3,FALSE)&amp;"","")</f>
        <v/>
      </c>
      <c r="G13" s="20">
        <f>IFERROR(VLOOKUP($E13,'Lesson Bank'!$A:$L,4,FALSE)&amp;"","")</f>
        <v/>
      </c>
      <c r="H13" s="20">
        <f>IFERROR(VLOOKUP($E13,'Lesson Bank'!$A:$L,6,FALSE)&amp;"","")</f>
        <v/>
      </c>
      <c r="I13" s="20">
        <f>IFERROR(VLOOKUP($E13,'Lesson Bank'!$A:$L,8,FALSE)&amp;"","")</f>
        <v/>
      </c>
      <c r="J13" s="20">
        <f>IFERROR(VLOOKUP($E13,'Lesson Bank'!$A:$L,5,FALSE),$E13)</f>
        <v/>
      </c>
      <c r="K13" s="20" t="inlineStr"/>
      <c r="L13" s="20" t="inlineStr"/>
    </row>
    <row r="14">
      <c r="A14" s="27" t="n">
        <v>46295</v>
      </c>
      <c r="B14" s="20" t="inlineStr">
        <is>
          <t>Wed</t>
        </is>
      </c>
      <c r="C14" s="20" t="inlineStr">
        <is>
          <t>Q1</t>
        </is>
      </c>
      <c r="D14" s="20">
        <f>ROW()-1</f>
        <v/>
      </c>
      <c r="E14" s="24" t="inlineStr">
        <is>
          <t>U2-C1L1</t>
        </is>
      </c>
      <c r="F14" s="20">
        <f>IFERROR(VLOOKUP($E14,'Lesson Bank'!$A:$L,3,FALSE)&amp;"","")</f>
        <v/>
      </c>
      <c r="G14" s="20">
        <f>IFERROR(VLOOKUP($E14,'Lesson Bank'!$A:$L,4,FALSE)&amp;"","")</f>
        <v/>
      </c>
      <c r="H14" s="20">
        <f>IFERROR(VLOOKUP($E14,'Lesson Bank'!$A:$L,6,FALSE)&amp;"","")</f>
        <v/>
      </c>
      <c r="I14" s="20">
        <f>IFERROR(VLOOKUP($E14,'Lesson Bank'!$A:$L,8,FALSE)&amp;"","")</f>
        <v/>
      </c>
      <c r="J14" s="20">
        <f>IFERROR(VLOOKUP($E14,'Lesson Bank'!$A:$L,5,FALSE),$E14)</f>
        <v/>
      </c>
      <c r="K14" s="20" t="inlineStr"/>
      <c r="L14" s="20" t="inlineStr"/>
    </row>
    <row r="15">
      <c r="A15" s="27" t="n">
        <v>46297</v>
      </c>
      <c r="B15" s="20" t="inlineStr">
        <is>
          <t>Fri</t>
        </is>
      </c>
      <c r="C15" s="20" t="inlineStr">
        <is>
          <t>Q1</t>
        </is>
      </c>
      <c r="D15" s="20">
        <f>ROW()-1</f>
        <v/>
      </c>
      <c r="E15" s="24" t="inlineStr">
        <is>
          <t>U2-C1L2</t>
        </is>
      </c>
      <c r="F15" s="20">
        <f>IFERROR(VLOOKUP($E15,'Lesson Bank'!$A:$L,3,FALSE)&amp;"","")</f>
        <v/>
      </c>
      <c r="G15" s="20">
        <f>IFERROR(VLOOKUP($E15,'Lesson Bank'!$A:$L,4,FALSE)&amp;"","")</f>
        <v/>
      </c>
      <c r="H15" s="20">
        <f>IFERROR(VLOOKUP($E15,'Lesson Bank'!$A:$L,6,FALSE)&amp;"","")</f>
        <v/>
      </c>
      <c r="I15" s="20">
        <f>IFERROR(VLOOKUP($E15,'Lesson Bank'!$A:$L,8,FALSE)&amp;"","")</f>
        <v/>
      </c>
      <c r="J15" s="20">
        <f>IFERROR(VLOOKUP($E15,'Lesson Bank'!$A:$L,5,FALSE),$E15)</f>
        <v/>
      </c>
      <c r="K15" s="20" t="inlineStr"/>
      <c r="L15" s="20" t="inlineStr"/>
    </row>
    <row r="16">
      <c r="A16" s="27" t="n">
        <v>46301</v>
      </c>
      <c r="B16" s="20" t="inlineStr">
        <is>
          <t>Tue</t>
        </is>
      </c>
      <c r="C16" s="20" t="inlineStr">
        <is>
          <t>Q1</t>
        </is>
      </c>
      <c r="D16" s="20">
        <f>ROW()-1</f>
        <v/>
      </c>
      <c r="E16" s="24" t="inlineStr">
        <is>
          <t>U2-C1L3</t>
        </is>
      </c>
      <c r="F16" s="20">
        <f>IFERROR(VLOOKUP($E16,'Lesson Bank'!$A:$L,3,FALSE)&amp;"","")</f>
        <v/>
      </c>
      <c r="G16" s="20">
        <f>IFERROR(VLOOKUP($E16,'Lesson Bank'!$A:$L,4,FALSE)&amp;"","")</f>
        <v/>
      </c>
      <c r="H16" s="20">
        <f>IFERROR(VLOOKUP($E16,'Lesson Bank'!$A:$L,6,FALSE)&amp;"","")</f>
        <v/>
      </c>
      <c r="I16" s="20">
        <f>IFERROR(VLOOKUP($E16,'Lesson Bank'!$A:$L,8,FALSE)&amp;"","")</f>
        <v/>
      </c>
      <c r="J16" s="20">
        <f>IFERROR(VLOOKUP($E16,'Lesson Bank'!$A:$L,5,FALSE),$E16)</f>
        <v/>
      </c>
      <c r="K16" s="20" t="inlineStr"/>
      <c r="L16" s="20" t="inlineStr"/>
    </row>
    <row r="17">
      <c r="A17" s="27" t="n">
        <v>46303</v>
      </c>
      <c r="B17" s="20" t="inlineStr">
        <is>
          <t>Thu</t>
        </is>
      </c>
      <c r="C17" s="20" t="inlineStr">
        <is>
          <t>Q1</t>
        </is>
      </c>
      <c r="D17" s="20">
        <f>ROW()-1</f>
        <v/>
      </c>
      <c r="E17" s="24" t="inlineStr">
        <is>
          <t>U2-C1L4</t>
        </is>
      </c>
      <c r="F17" s="20">
        <f>IFERROR(VLOOKUP($E17,'Lesson Bank'!$A:$L,3,FALSE)&amp;"","")</f>
        <v/>
      </c>
      <c r="G17" s="20">
        <f>IFERROR(VLOOKUP($E17,'Lesson Bank'!$A:$L,4,FALSE)&amp;"","")</f>
        <v/>
      </c>
      <c r="H17" s="20">
        <f>IFERROR(VLOOKUP($E17,'Lesson Bank'!$A:$L,6,FALSE)&amp;"","")</f>
        <v/>
      </c>
      <c r="I17" s="20">
        <f>IFERROR(VLOOKUP($E17,'Lesson Bank'!$A:$L,8,FALSE)&amp;"","")</f>
        <v/>
      </c>
      <c r="J17" s="20">
        <f>IFERROR(VLOOKUP($E17,'Lesson Bank'!$A:$L,5,FALSE),$E17)</f>
        <v/>
      </c>
      <c r="K17" s="20" t="inlineStr"/>
      <c r="L17" s="20" t="inlineStr"/>
    </row>
    <row r="18">
      <c r="A18" s="27" t="n">
        <v>46307</v>
      </c>
      <c r="B18" s="20" t="inlineStr">
        <is>
          <t>Mon</t>
        </is>
      </c>
      <c r="C18" s="20" t="inlineStr">
        <is>
          <t>Q1</t>
        </is>
      </c>
      <c r="D18" s="20">
        <f>ROW()-1</f>
        <v/>
      </c>
      <c r="E18" s="24" t="inlineStr">
        <is>
          <t>U2-C1L5</t>
        </is>
      </c>
      <c r="F18" s="20">
        <f>IFERROR(VLOOKUP($E18,'Lesson Bank'!$A:$L,3,FALSE)&amp;"","")</f>
        <v/>
      </c>
      <c r="G18" s="20">
        <f>IFERROR(VLOOKUP($E18,'Lesson Bank'!$A:$L,4,FALSE)&amp;"","")</f>
        <v/>
      </c>
      <c r="H18" s="20">
        <f>IFERROR(VLOOKUP($E18,'Lesson Bank'!$A:$L,6,FALSE)&amp;"","")</f>
        <v/>
      </c>
      <c r="I18" s="20">
        <f>IFERROR(VLOOKUP($E18,'Lesson Bank'!$A:$L,8,FALSE)&amp;"","")</f>
        <v/>
      </c>
      <c r="J18" s="20">
        <f>IFERROR(VLOOKUP($E18,'Lesson Bank'!$A:$L,5,FALSE),$E18)</f>
        <v/>
      </c>
      <c r="K18" s="20" t="inlineStr"/>
      <c r="L18" s="20" t="inlineStr"/>
    </row>
    <row r="19">
      <c r="A19" s="27" t="n">
        <v>46309</v>
      </c>
      <c r="B19" s="20" t="inlineStr">
        <is>
          <t>Wed</t>
        </is>
      </c>
      <c r="C19" s="20" t="inlineStr">
        <is>
          <t>Q1</t>
        </is>
      </c>
      <c r="D19" s="20">
        <f>ROW()-1</f>
        <v/>
      </c>
      <c r="E19" s="24" t="inlineStr">
        <is>
          <t>U2-C2L1</t>
        </is>
      </c>
      <c r="F19" s="20">
        <f>IFERROR(VLOOKUP($E19,'Lesson Bank'!$A:$L,3,FALSE)&amp;"","")</f>
        <v/>
      </c>
      <c r="G19" s="20">
        <f>IFERROR(VLOOKUP($E19,'Lesson Bank'!$A:$L,4,FALSE)&amp;"","")</f>
        <v/>
      </c>
      <c r="H19" s="20">
        <f>IFERROR(VLOOKUP($E19,'Lesson Bank'!$A:$L,6,FALSE)&amp;"","")</f>
        <v/>
      </c>
      <c r="I19" s="20">
        <f>IFERROR(VLOOKUP($E19,'Lesson Bank'!$A:$L,8,FALSE)&amp;"","")</f>
        <v/>
      </c>
      <c r="J19" s="20">
        <f>IFERROR(VLOOKUP($E19,'Lesson Bank'!$A:$L,5,FALSE),$E19)</f>
        <v/>
      </c>
      <c r="K19" s="20" t="inlineStr"/>
      <c r="L19" s="20" t="inlineStr"/>
    </row>
    <row r="20">
      <c r="A20" s="27" t="n">
        <v>46314</v>
      </c>
      <c r="B20" s="20" t="inlineStr">
        <is>
          <t>Mon</t>
        </is>
      </c>
      <c r="C20" s="20" t="inlineStr">
        <is>
          <t>Q1</t>
        </is>
      </c>
      <c r="D20" s="20">
        <f>ROW()-1</f>
        <v/>
      </c>
      <c r="E20" s="24" t="inlineStr">
        <is>
          <t>U2-C2L2</t>
        </is>
      </c>
      <c r="F20" s="20">
        <f>IFERROR(VLOOKUP($E20,'Lesson Bank'!$A:$L,3,FALSE)&amp;"","")</f>
        <v/>
      </c>
      <c r="G20" s="20">
        <f>IFERROR(VLOOKUP($E20,'Lesson Bank'!$A:$L,4,FALSE)&amp;"","")</f>
        <v/>
      </c>
      <c r="H20" s="20">
        <f>IFERROR(VLOOKUP($E20,'Lesson Bank'!$A:$L,6,FALSE)&amp;"","")</f>
        <v/>
      </c>
      <c r="I20" s="20">
        <f>IFERROR(VLOOKUP($E20,'Lesson Bank'!$A:$L,8,FALSE)&amp;"","")</f>
        <v/>
      </c>
      <c r="J20" s="20">
        <f>IFERROR(VLOOKUP($E20,'Lesson Bank'!$A:$L,5,FALSE),$E20)</f>
        <v/>
      </c>
      <c r="K20" s="20" t="inlineStr"/>
      <c r="L20" s="20" t="inlineStr"/>
    </row>
    <row r="21">
      <c r="A21" s="27" t="n">
        <v>46316</v>
      </c>
      <c r="B21" s="20" t="inlineStr">
        <is>
          <t>Wed</t>
        </is>
      </c>
      <c r="C21" s="20" t="inlineStr">
        <is>
          <t>Q1</t>
        </is>
      </c>
      <c r="D21" s="20">
        <f>ROW()-1</f>
        <v/>
      </c>
      <c r="E21" s="24" t="inlineStr">
        <is>
          <t>U2-C2L3+4</t>
        </is>
      </c>
      <c r="F21" s="20">
        <f>IFERROR(VLOOKUP($E21,'Lesson Bank'!$A:$L,3,FALSE)&amp;"","")</f>
        <v/>
      </c>
      <c r="G21" s="20">
        <f>IFERROR(VLOOKUP($E21,'Lesson Bank'!$A:$L,4,FALSE)&amp;"","")</f>
        <v/>
      </c>
      <c r="H21" s="20">
        <f>IFERROR(VLOOKUP($E21,'Lesson Bank'!$A:$L,6,FALSE)&amp;"","")</f>
        <v/>
      </c>
      <c r="I21" s="20">
        <f>IFERROR(VLOOKUP($E21,'Lesson Bank'!$A:$L,8,FALSE)&amp;"","")</f>
        <v/>
      </c>
      <c r="J21" s="20">
        <f>IFERROR(VLOOKUP($E21,'Lesson Bank'!$A:$L,5,FALSE),$E21)</f>
        <v/>
      </c>
      <c r="K21" s="20" t="inlineStr"/>
      <c r="L21" s="20" t="inlineStr"/>
    </row>
    <row r="22">
      <c r="A22" s="27" t="n">
        <v>46318</v>
      </c>
      <c r="B22" s="20" t="inlineStr">
        <is>
          <t>Fri</t>
        </is>
      </c>
      <c r="C22" s="20" t="inlineStr">
        <is>
          <t>Q1</t>
        </is>
      </c>
      <c r="D22" s="20">
        <f>ROW()-1</f>
        <v/>
      </c>
      <c r="E22" s="24" t="inlineStr">
        <is>
          <t>U2-C2L5</t>
        </is>
      </c>
      <c r="F22" s="20">
        <f>IFERROR(VLOOKUP($E22,'Lesson Bank'!$A:$L,3,FALSE)&amp;"","")</f>
        <v/>
      </c>
      <c r="G22" s="20">
        <f>IFERROR(VLOOKUP($E22,'Lesson Bank'!$A:$L,4,FALSE)&amp;"","")</f>
        <v/>
      </c>
      <c r="H22" s="20">
        <f>IFERROR(VLOOKUP($E22,'Lesson Bank'!$A:$L,6,FALSE)&amp;"","")</f>
        <v/>
      </c>
      <c r="I22" s="20">
        <f>IFERROR(VLOOKUP($E22,'Lesson Bank'!$A:$L,8,FALSE)&amp;"","")</f>
        <v/>
      </c>
      <c r="J22" s="20">
        <f>IFERROR(VLOOKUP($E22,'Lesson Bank'!$A:$L,5,FALSE),$E22)</f>
        <v/>
      </c>
      <c r="K22" s="20" t="inlineStr"/>
      <c r="L22" s="20" t="inlineStr"/>
    </row>
    <row r="23">
      <c r="A23" s="27" t="n">
        <v>46322</v>
      </c>
      <c r="B23" s="20" t="inlineStr">
        <is>
          <t>Tue</t>
        </is>
      </c>
      <c r="C23" s="20" t="inlineStr">
        <is>
          <t>Q1</t>
        </is>
      </c>
      <c r="D23" s="20">
        <f>ROW()-1</f>
        <v/>
      </c>
      <c r="E23" s="24" t="inlineStr">
        <is>
          <t>U2-C3L1</t>
        </is>
      </c>
      <c r="F23" s="20">
        <f>IFERROR(VLOOKUP($E23,'Lesson Bank'!$A:$L,3,FALSE)&amp;"","")</f>
        <v/>
      </c>
      <c r="G23" s="20">
        <f>IFERROR(VLOOKUP($E23,'Lesson Bank'!$A:$L,4,FALSE)&amp;"","")</f>
        <v/>
      </c>
      <c r="H23" s="20">
        <f>IFERROR(VLOOKUP($E23,'Lesson Bank'!$A:$L,6,FALSE)&amp;"","")</f>
        <v/>
      </c>
      <c r="I23" s="20">
        <f>IFERROR(VLOOKUP($E23,'Lesson Bank'!$A:$L,8,FALSE)&amp;"","")</f>
        <v/>
      </c>
      <c r="J23" s="20">
        <f>IFERROR(VLOOKUP($E23,'Lesson Bank'!$A:$L,5,FALSE),$E23)</f>
        <v/>
      </c>
      <c r="K23" s="20" t="inlineStr"/>
      <c r="L23" s="20" t="inlineStr"/>
    </row>
    <row r="24">
      <c r="A24" s="27" t="n">
        <v>46324</v>
      </c>
      <c r="B24" s="20" t="inlineStr">
        <is>
          <t>Thu</t>
        </is>
      </c>
      <c r="C24" s="20" t="inlineStr">
        <is>
          <t>Q1</t>
        </is>
      </c>
      <c r="D24" s="20">
        <f>ROW()-1</f>
        <v/>
      </c>
      <c r="E24" s="24" t="inlineStr">
        <is>
          <t>Q1-BM</t>
        </is>
      </c>
      <c r="F24" s="20">
        <f>IFERROR(VLOOKUP($E24,'Lesson Bank'!$A:$L,3,FALSE)&amp;"","")</f>
        <v/>
      </c>
      <c r="G24" s="20">
        <f>IFERROR(VLOOKUP($E24,'Lesson Bank'!$A:$L,4,FALSE)&amp;"","")</f>
        <v/>
      </c>
      <c r="H24" s="20">
        <f>IFERROR(VLOOKUP($E24,'Lesson Bank'!$A:$L,6,FALSE)&amp;"","")</f>
        <v/>
      </c>
      <c r="I24" s="20">
        <f>IFERROR(VLOOKUP($E24,'Lesson Bank'!$A:$L,8,FALSE)&amp;"","")</f>
        <v/>
      </c>
      <c r="J24" s="20">
        <f>IFERROR(VLOOKUP($E24,'Lesson Bank'!$A:$L,5,FALSE),$E24)</f>
        <v/>
      </c>
      <c r="K24" s="20" t="inlineStr"/>
      <c r="L24" s="20" t="inlineStr"/>
    </row>
    <row r="25">
      <c r="A25" s="27" t="n">
        <v>46328</v>
      </c>
      <c r="B25" s="20" t="inlineStr">
        <is>
          <t>Mon</t>
        </is>
      </c>
      <c r="C25" s="20" t="inlineStr">
        <is>
          <t>Q1</t>
        </is>
      </c>
      <c r="D25" s="20">
        <f>ROW()-1</f>
        <v/>
      </c>
      <c r="E25" s="24" t="inlineStr">
        <is>
          <t>U3-C1L1</t>
        </is>
      </c>
      <c r="F25" s="20">
        <f>IFERROR(VLOOKUP($E25,'Lesson Bank'!$A:$L,3,FALSE)&amp;"","")</f>
        <v/>
      </c>
      <c r="G25" s="20">
        <f>IFERROR(VLOOKUP($E25,'Lesson Bank'!$A:$L,4,FALSE)&amp;"","")</f>
        <v/>
      </c>
      <c r="H25" s="20">
        <f>IFERROR(VLOOKUP($E25,'Lesson Bank'!$A:$L,6,FALSE)&amp;"","")</f>
        <v/>
      </c>
      <c r="I25" s="20">
        <f>IFERROR(VLOOKUP($E25,'Lesson Bank'!$A:$L,8,FALSE)&amp;"","")</f>
        <v/>
      </c>
      <c r="J25" s="20">
        <f>IFERROR(VLOOKUP($E25,'Lesson Bank'!$A:$L,5,FALSE),$E25)</f>
        <v/>
      </c>
      <c r="K25" s="20" t="inlineStr">
        <is>
          <t>Last day of Q1</t>
        </is>
      </c>
      <c r="L25" s="20" t="inlineStr"/>
    </row>
    <row r="26">
      <c r="A26" s="27" t="n">
        <v>46331</v>
      </c>
      <c r="B26" s="20" t="inlineStr">
        <is>
          <t>Thu</t>
        </is>
      </c>
      <c r="C26" s="20" t="inlineStr">
        <is>
          <t>Q2</t>
        </is>
      </c>
      <c r="D26" s="20">
        <f>ROW()-1</f>
        <v/>
      </c>
      <c r="E26" s="24" t="inlineStr">
        <is>
          <t>U3-C1L2</t>
        </is>
      </c>
      <c r="F26" s="20">
        <f>IFERROR(VLOOKUP($E26,'Lesson Bank'!$A:$L,3,FALSE)&amp;"","")</f>
        <v/>
      </c>
      <c r="G26" s="20">
        <f>IFERROR(VLOOKUP($E26,'Lesson Bank'!$A:$L,4,FALSE)&amp;"","")</f>
        <v/>
      </c>
      <c r="H26" s="20">
        <f>IFERROR(VLOOKUP($E26,'Lesson Bank'!$A:$L,6,FALSE)&amp;"","")</f>
        <v/>
      </c>
      <c r="I26" s="20">
        <f>IFERROR(VLOOKUP($E26,'Lesson Bank'!$A:$L,8,FALSE)&amp;"","")</f>
        <v/>
      </c>
      <c r="J26" s="20">
        <f>IFERROR(VLOOKUP($E26,'Lesson Bank'!$A:$L,5,FALSE),$E26)</f>
        <v/>
      </c>
      <c r="K26" s="20" t="inlineStr"/>
      <c r="L26" s="20" t="inlineStr"/>
    </row>
    <row r="27">
      <c r="A27" s="27" t="n">
        <v>46335</v>
      </c>
      <c r="B27" s="20" t="inlineStr">
        <is>
          <t>Mon</t>
        </is>
      </c>
      <c r="C27" s="20" t="inlineStr">
        <is>
          <t>Q2</t>
        </is>
      </c>
      <c r="D27" s="20">
        <f>ROW()-1</f>
        <v/>
      </c>
      <c r="E27" s="24" t="inlineStr">
        <is>
          <t>U3-C1L3</t>
        </is>
      </c>
      <c r="F27" s="20">
        <f>IFERROR(VLOOKUP($E27,'Lesson Bank'!$A:$L,3,FALSE)&amp;"","")</f>
        <v/>
      </c>
      <c r="G27" s="20">
        <f>IFERROR(VLOOKUP($E27,'Lesson Bank'!$A:$L,4,FALSE)&amp;"","")</f>
        <v/>
      </c>
      <c r="H27" s="20">
        <f>IFERROR(VLOOKUP($E27,'Lesson Bank'!$A:$L,6,FALSE)&amp;"","")</f>
        <v/>
      </c>
      <c r="I27" s="20">
        <f>IFERROR(VLOOKUP($E27,'Lesson Bank'!$A:$L,8,FALSE)&amp;"","")</f>
        <v/>
      </c>
      <c r="J27" s="20">
        <f>IFERROR(VLOOKUP($E27,'Lesson Bank'!$A:$L,5,FALSE),$E27)</f>
        <v/>
      </c>
      <c r="K27" s="20" t="inlineStr"/>
      <c r="L27" s="20" t="inlineStr"/>
    </row>
    <row r="28">
      <c r="A28" s="27" t="n">
        <v>46337</v>
      </c>
      <c r="B28" s="20" t="inlineStr">
        <is>
          <t>Wed</t>
        </is>
      </c>
      <c r="C28" s="20" t="inlineStr">
        <is>
          <t>Q2</t>
        </is>
      </c>
      <c r="D28" s="20">
        <f>ROW()-1</f>
        <v/>
      </c>
      <c r="E28" s="24" t="inlineStr">
        <is>
          <t>U3-C1L4</t>
        </is>
      </c>
      <c r="F28" s="20">
        <f>IFERROR(VLOOKUP($E28,'Lesson Bank'!$A:$L,3,FALSE)&amp;"","")</f>
        <v/>
      </c>
      <c r="G28" s="20">
        <f>IFERROR(VLOOKUP($E28,'Lesson Bank'!$A:$L,4,FALSE)&amp;"","")</f>
        <v/>
      </c>
      <c r="H28" s="20">
        <f>IFERROR(VLOOKUP($E28,'Lesson Bank'!$A:$L,6,FALSE)&amp;"","")</f>
        <v/>
      </c>
      <c r="I28" s="20">
        <f>IFERROR(VLOOKUP($E28,'Lesson Bank'!$A:$L,8,FALSE)&amp;"","")</f>
        <v/>
      </c>
      <c r="J28" s="20">
        <f>IFERROR(VLOOKUP($E28,'Lesson Bank'!$A:$L,5,FALSE),$E28)</f>
        <v/>
      </c>
      <c r="K28" s="20" t="inlineStr"/>
      <c r="L28" s="20" t="inlineStr"/>
    </row>
    <row r="29">
      <c r="A29" s="27" t="n">
        <v>46339</v>
      </c>
      <c r="B29" s="20" t="inlineStr">
        <is>
          <t>Fri</t>
        </is>
      </c>
      <c r="C29" s="20" t="inlineStr">
        <is>
          <t>Q2</t>
        </is>
      </c>
      <c r="D29" s="20">
        <f>ROW()-1</f>
        <v/>
      </c>
      <c r="E29" s="24" t="inlineStr">
        <is>
          <t>U3-C1L5</t>
        </is>
      </c>
      <c r="F29" s="20">
        <f>IFERROR(VLOOKUP($E29,'Lesson Bank'!$A:$L,3,FALSE)&amp;"","")</f>
        <v/>
      </c>
      <c r="G29" s="20">
        <f>IFERROR(VLOOKUP($E29,'Lesson Bank'!$A:$L,4,FALSE)&amp;"","")</f>
        <v/>
      </c>
      <c r="H29" s="20">
        <f>IFERROR(VLOOKUP($E29,'Lesson Bank'!$A:$L,6,FALSE)&amp;"","")</f>
        <v/>
      </c>
      <c r="I29" s="20">
        <f>IFERROR(VLOOKUP($E29,'Lesson Bank'!$A:$L,8,FALSE)&amp;"","")</f>
        <v/>
      </c>
      <c r="J29" s="20">
        <f>IFERROR(VLOOKUP($E29,'Lesson Bank'!$A:$L,5,FALSE),$E29)</f>
        <v/>
      </c>
      <c r="K29" s="20" t="inlineStr"/>
      <c r="L29" s="20" t="inlineStr"/>
    </row>
    <row r="30">
      <c r="A30" s="27" t="n">
        <v>46343</v>
      </c>
      <c r="B30" s="20" t="inlineStr">
        <is>
          <t>Tue</t>
        </is>
      </c>
      <c r="C30" s="20" t="inlineStr">
        <is>
          <t>Q2</t>
        </is>
      </c>
      <c r="D30" s="20">
        <f>ROW()-1</f>
        <v/>
      </c>
      <c r="E30" s="24" t="inlineStr">
        <is>
          <t>U3-C2L1</t>
        </is>
      </c>
      <c r="F30" s="20">
        <f>IFERROR(VLOOKUP($E30,'Lesson Bank'!$A:$L,3,FALSE)&amp;"","")</f>
        <v/>
      </c>
      <c r="G30" s="20">
        <f>IFERROR(VLOOKUP($E30,'Lesson Bank'!$A:$L,4,FALSE)&amp;"","")</f>
        <v/>
      </c>
      <c r="H30" s="20">
        <f>IFERROR(VLOOKUP($E30,'Lesson Bank'!$A:$L,6,FALSE)&amp;"","")</f>
        <v/>
      </c>
      <c r="I30" s="20">
        <f>IFERROR(VLOOKUP($E30,'Lesson Bank'!$A:$L,8,FALSE)&amp;"","")</f>
        <v/>
      </c>
      <c r="J30" s="20">
        <f>IFERROR(VLOOKUP($E30,'Lesson Bank'!$A:$L,5,FALSE),$E30)</f>
        <v/>
      </c>
      <c r="K30" s="20" t="inlineStr"/>
      <c r="L30" s="20" t="inlineStr"/>
    </row>
    <row r="31">
      <c r="A31" s="27" t="n">
        <v>46345</v>
      </c>
      <c r="B31" s="20" t="inlineStr">
        <is>
          <t>Thu</t>
        </is>
      </c>
      <c r="C31" s="20" t="inlineStr">
        <is>
          <t>Q2</t>
        </is>
      </c>
      <c r="D31" s="20">
        <f>ROW()-1</f>
        <v/>
      </c>
      <c r="E31" s="24" t="inlineStr">
        <is>
          <t>U3-C2L2</t>
        </is>
      </c>
      <c r="F31" s="20">
        <f>IFERROR(VLOOKUP($E31,'Lesson Bank'!$A:$L,3,FALSE)&amp;"","")</f>
        <v/>
      </c>
      <c r="G31" s="20">
        <f>IFERROR(VLOOKUP($E31,'Lesson Bank'!$A:$L,4,FALSE)&amp;"","")</f>
        <v/>
      </c>
      <c r="H31" s="20">
        <f>IFERROR(VLOOKUP($E31,'Lesson Bank'!$A:$L,6,FALSE)&amp;"","")</f>
        <v/>
      </c>
      <c r="I31" s="20">
        <f>IFERROR(VLOOKUP($E31,'Lesson Bank'!$A:$L,8,FALSE)&amp;"","")</f>
        <v/>
      </c>
      <c r="J31" s="20">
        <f>IFERROR(VLOOKUP($E31,'Lesson Bank'!$A:$L,5,FALSE),$E31)</f>
        <v/>
      </c>
      <c r="K31" s="20" t="inlineStr"/>
      <c r="L31" s="20" t="inlineStr"/>
    </row>
    <row r="32">
      <c r="A32" s="27" t="n">
        <v>46349</v>
      </c>
      <c r="B32" s="20" t="inlineStr">
        <is>
          <t>Mon</t>
        </is>
      </c>
      <c r="C32" s="20" t="inlineStr">
        <is>
          <t>Q2</t>
        </is>
      </c>
      <c r="D32" s="20">
        <f>ROW()-1</f>
        <v/>
      </c>
      <c r="E32" s="24" t="inlineStr">
        <is>
          <t>U3-C2L3</t>
        </is>
      </c>
      <c r="F32" s="20">
        <f>IFERROR(VLOOKUP($E32,'Lesson Bank'!$A:$L,3,FALSE)&amp;"","")</f>
        <v/>
      </c>
      <c r="G32" s="20">
        <f>IFERROR(VLOOKUP($E32,'Lesson Bank'!$A:$L,4,FALSE)&amp;"","")</f>
        <v/>
      </c>
      <c r="H32" s="20">
        <f>IFERROR(VLOOKUP($E32,'Lesson Bank'!$A:$L,6,FALSE)&amp;"","")</f>
        <v/>
      </c>
      <c r="I32" s="20">
        <f>IFERROR(VLOOKUP($E32,'Lesson Bank'!$A:$L,8,FALSE)&amp;"","")</f>
        <v/>
      </c>
      <c r="J32" s="20">
        <f>IFERROR(VLOOKUP($E32,'Lesson Bank'!$A:$L,5,FALSE),$E32)</f>
        <v/>
      </c>
      <c r="K32" s="20" t="inlineStr"/>
      <c r="L32" s="20" t="inlineStr"/>
    </row>
    <row r="33">
      <c r="A33" s="27" t="n">
        <v>46356</v>
      </c>
      <c r="B33" s="20" t="inlineStr">
        <is>
          <t>Mon</t>
        </is>
      </c>
      <c r="C33" s="20" t="inlineStr">
        <is>
          <t>Q2</t>
        </is>
      </c>
      <c r="D33" s="20">
        <f>ROW()-1</f>
        <v/>
      </c>
      <c r="E33" s="24" t="inlineStr">
        <is>
          <t>U3-C2L4</t>
        </is>
      </c>
      <c r="F33" s="20">
        <f>IFERROR(VLOOKUP($E33,'Lesson Bank'!$A:$L,3,FALSE)&amp;"","")</f>
        <v/>
      </c>
      <c r="G33" s="20">
        <f>IFERROR(VLOOKUP($E33,'Lesson Bank'!$A:$L,4,FALSE)&amp;"","")</f>
        <v/>
      </c>
      <c r="H33" s="20">
        <f>IFERROR(VLOOKUP($E33,'Lesson Bank'!$A:$L,6,FALSE)&amp;"","")</f>
        <v/>
      </c>
      <c r="I33" s="20">
        <f>IFERROR(VLOOKUP($E33,'Lesson Bank'!$A:$L,8,FALSE)&amp;"","")</f>
        <v/>
      </c>
      <c r="J33" s="20">
        <f>IFERROR(VLOOKUP($E33,'Lesson Bank'!$A:$L,5,FALSE),$E33)</f>
        <v/>
      </c>
      <c r="K33" s="20" t="inlineStr"/>
      <c r="L33" s="20" t="inlineStr"/>
    </row>
    <row r="34">
      <c r="A34" s="27" t="n">
        <v>46358</v>
      </c>
      <c r="B34" s="20" t="inlineStr">
        <is>
          <t>Wed</t>
        </is>
      </c>
      <c r="C34" s="20" t="inlineStr">
        <is>
          <t>Q2</t>
        </is>
      </c>
      <c r="D34" s="20">
        <f>ROW()-1</f>
        <v/>
      </c>
      <c r="E34" s="24" t="inlineStr">
        <is>
          <t>U3-C2L5</t>
        </is>
      </c>
      <c r="F34" s="20">
        <f>IFERROR(VLOOKUP($E34,'Lesson Bank'!$A:$L,3,FALSE)&amp;"","")</f>
        <v/>
      </c>
      <c r="G34" s="20">
        <f>IFERROR(VLOOKUP($E34,'Lesson Bank'!$A:$L,4,FALSE)&amp;"","")</f>
        <v/>
      </c>
      <c r="H34" s="20">
        <f>IFERROR(VLOOKUP($E34,'Lesson Bank'!$A:$L,6,FALSE)&amp;"","")</f>
        <v/>
      </c>
      <c r="I34" s="20">
        <f>IFERROR(VLOOKUP($E34,'Lesson Bank'!$A:$L,8,FALSE)&amp;"","")</f>
        <v/>
      </c>
      <c r="J34" s="20">
        <f>IFERROR(VLOOKUP($E34,'Lesson Bank'!$A:$L,5,FALSE),$E34)</f>
        <v/>
      </c>
      <c r="K34" s="20" t="inlineStr"/>
      <c r="L34" s="20" t="inlineStr"/>
    </row>
    <row r="35">
      <c r="A35" s="27" t="n">
        <v>46360</v>
      </c>
      <c r="B35" s="20" t="inlineStr">
        <is>
          <t>Fri</t>
        </is>
      </c>
      <c r="C35" s="20" t="inlineStr">
        <is>
          <t>Q2</t>
        </is>
      </c>
      <c r="D35" s="20">
        <f>ROW()-1</f>
        <v/>
      </c>
      <c r="E35" s="24" t="inlineStr">
        <is>
          <t>U3-C3L1</t>
        </is>
      </c>
      <c r="F35" s="20">
        <f>IFERROR(VLOOKUP($E35,'Lesson Bank'!$A:$L,3,FALSE)&amp;"","")</f>
        <v/>
      </c>
      <c r="G35" s="20">
        <f>IFERROR(VLOOKUP($E35,'Lesson Bank'!$A:$L,4,FALSE)&amp;"","")</f>
        <v/>
      </c>
      <c r="H35" s="20">
        <f>IFERROR(VLOOKUP($E35,'Lesson Bank'!$A:$L,6,FALSE)&amp;"","")</f>
        <v/>
      </c>
      <c r="I35" s="20">
        <f>IFERROR(VLOOKUP($E35,'Lesson Bank'!$A:$L,8,FALSE)&amp;"","")</f>
        <v/>
      </c>
      <c r="J35" s="20">
        <f>IFERROR(VLOOKUP($E35,'Lesson Bank'!$A:$L,5,FALSE),$E35)</f>
        <v/>
      </c>
      <c r="K35" s="20" t="inlineStr"/>
      <c r="L35" s="20" t="inlineStr"/>
    </row>
    <row r="36">
      <c r="A36" s="27" t="n">
        <v>46364</v>
      </c>
      <c r="B36" s="20" t="inlineStr">
        <is>
          <t>Tue</t>
        </is>
      </c>
      <c r="C36" s="20" t="inlineStr">
        <is>
          <t>Q2</t>
        </is>
      </c>
      <c r="D36" s="20">
        <f>ROW()-1</f>
        <v/>
      </c>
      <c r="E36" s="24" t="inlineStr">
        <is>
          <t>Q2-MQ</t>
        </is>
      </c>
      <c r="F36" s="20">
        <f>IFERROR(VLOOKUP($E36,'Lesson Bank'!$A:$L,3,FALSE)&amp;"","")</f>
        <v/>
      </c>
      <c r="G36" s="20">
        <f>IFERROR(VLOOKUP($E36,'Lesson Bank'!$A:$L,4,FALSE)&amp;"","")</f>
        <v/>
      </c>
      <c r="H36" s="20">
        <f>IFERROR(VLOOKUP($E36,'Lesson Bank'!$A:$L,6,FALSE)&amp;"","")</f>
        <v/>
      </c>
      <c r="I36" s="20">
        <f>IFERROR(VLOOKUP($E36,'Lesson Bank'!$A:$L,8,FALSE)&amp;"","")</f>
        <v/>
      </c>
      <c r="J36" s="20">
        <f>IFERROR(VLOOKUP($E36,'Lesson Bank'!$A:$L,5,FALSE),$E36)</f>
        <v/>
      </c>
      <c r="K36" s="20" t="inlineStr"/>
      <c r="L36" s="20" t="inlineStr"/>
    </row>
    <row r="37">
      <c r="A37" s="27" t="n">
        <v>46366</v>
      </c>
      <c r="B37" s="20" t="inlineStr">
        <is>
          <t>Thu</t>
        </is>
      </c>
      <c r="C37" s="20" t="inlineStr">
        <is>
          <t>Q2</t>
        </is>
      </c>
      <c r="D37" s="20">
        <f>ROW()-1</f>
        <v/>
      </c>
      <c r="E37" s="24" t="inlineStr">
        <is>
          <t>U4-C1L1</t>
        </is>
      </c>
      <c r="F37" s="20">
        <f>IFERROR(VLOOKUP($E37,'Lesson Bank'!$A:$L,3,FALSE)&amp;"","")</f>
        <v/>
      </c>
      <c r="G37" s="20">
        <f>IFERROR(VLOOKUP($E37,'Lesson Bank'!$A:$L,4,FALSE)&amp;"","")</f>
        <v/>
      </c>
      <c r="H37" s="20">
        <f>IFERROR(VLOOKUP($E37,'Lesson Bank'!$A:$L,6,FALSE)&amp;"","")</f>
        <v/>
      </c>
      <c r="I37" s="20">
        <f>IFERROR(VLOOKUP($E37,'Lesson Bank'!$A:$L,8,FALSE)&amp;"","")</f>
        <v/>
      </c>
      <c r="J37" s="20">
        <f>IFERROR(VLOOKUP($E37,'Lesson Bank'!$A:$L,5,FALSE),$E37)</f>
        <v/>
      </c>
      <c r="K37" s="20" t="inlineStr"/>
      <c r="L37" s="20" t="inlineStr"/>
    </row>
    <row r="38">
      <c r="A38" s="27" t="n">
        <v>46370</v>
      </c>
      <c r="B38" s="20" t="inlineStr">
        <is>
          <t>Mon</t>
        </is>
      </c>
      <c r="C38" s="20" t="inlineStr">
        <is>
          <t>Q2</t>
        </is>
      </c>
      <c r="D38" s="20">
        <f>ROW()-1</f>
        <v/>
      </c>
      <c r="E38" s="24" t="inlineStr">
        <is>
          <t>U4-C1L2</t>
        </is>
      </c>
      <c r="F38" s="20">
        <f>IFERROR(VLOOKUP($E38,'Lesson Bank'!$A:$L,3,FALSE)&amp;"","")</f>
        <v/>
      </c>
      <c r="G38" s="20">
        <f>IFERROR(VLOOKUP($E38,'Lesson Bank'!$A:$L,4,FALSE)&amp;"","")</f>
        <v/>
      </c>
      <c r="H38" s="20">
        <f>IFERROR(VLOOKUP($E38,'Lesson Bank'!$A:$L,6,FALSE)&amp;"","")</f>
        <v/>
      </c>
      <c r="I38" s="20">
        <f>IFERROR(VLOOKUP($E38,'Lesson Bank'!$A:$L,8,FALSE)&amp;"","")</f>
        <v/>
      </c>
      <c r="J38" s="20">
        <f>IFERROR(VLOOKUP($E38,'Lesson Bank'!$A:$L,5,FALSE),$E38)</f>
        <v/>
      </c>
      <c r="K38" s="20" t="inlineStr"/>
      <c r="L38" s="20" t="inlineStr"/>
    </row>
    <row r="39">
      <c r="A39" s="27" t="n">
        <v>46372</v>
      </c>
      <c r="B39" s="20" t="inlineStr">
        <is>
          <t>Wed</t>
        </is>
      </c>
      <c r="C39" s="20" t="inlineStr">
        <is>
          <t>Q2</t>
        </is>
      </c>
      <c r="D39" s="20">
        <f>ROW()-1</f>
        <v/>
      </c>
      <c r="E39" s="24" t="inlineStr">
        <is>
          <t>U4-C1L3</t>
        </is>
      </c>
      <c r="F39" s="20">
        <f>IFERROR(VLOOKUP($E39,'Lesson Bank'!$A:$L,3,FALSE)&amp;"","")</f>
        <v/>
      </c>
      <c r="G39" s="20">
        <f>IFERROR(VLOOKUP($E39,'Lesson Bank'!$A:$L,4,FALSE)&amp;"","")</f>
        <v/>
      </c>
      <c r="H39" s="20">
        <f>IFERROR(VLOOKUP($E39,'Lesson Bank'!$A:$L,6,FALSE)&amp;"","")</f>
        <v/>
      </c>
      <c r="I39" s="20">
        <f>IFERROR(VLOOKUP($E39,'Lesson Bank'!$A:$L,8,FALSE)&amp;"","")</f>
        <v/>
      </c>
      <c r="J39" s="20">
        <f>IFERROR(VLOOKUP($E39,'Lesson Bank'!$A:$L,5,FALSE),$E39)</f>
        <v/>
      </c>
      <c r="K39" s="20" t="inlineStr"/>
      <c r="L39" s="20" t="inlineStr"/>
    </row>
    <row r="40">
      <c r="A40" s="27" t="n">
        <v>46374</v>
      </c>
      <c r="B40" s="20" t="inlineStr">
        <is>
          <t>Fri</t>
        </is>
      </c>
      <c r="C40" s="20" t="inlineStr">
        <is>
          <t>Q2</t>
        </is>
      </c>
      <c r="D40" s="20">
        <f>ROW()-1</f>
        <v/>
      </c>
      <c r="E40" s="24" t="inlineStr">
        <is>
          <t>U4-C1L4</t>
        </is>
      </c>
      <c r="F40" s="20">
        <f>IFERROR(VLOOKUP($E40,'Lesson Bank'!$A:$L,3,FALSE)&amp;"","")</f>
        <v/>
      </c>
      <c r="G40" s="20">
        <f>IFERROR(VLOOKUP($E40,'Lesson Bank'!$A:$L,4,FALSE)&amp;"","")</f>
        <v/>
      </c>
      <c r="H40" s="20">
        <f>IFERROR(VLOOKUP($E40,'Lesson Bank'!$A:$L,6,FALSE)&amp;"","")</f>
        <v/>
      </c>
      <c r="I40" s="20">
        <f>IFERROR(VLOOKUP($E40,'Lesson Bank'!$A:$L,8,FALSE)&amp;"","")</f>
        <v/>
      </c>
      <c r="J40" s="20">
        <f>IFERROR(VLOOKUP($E40,'Lesson Bank'!$A:$L,5,FALSE),$E40)</f>
        <v/>
      </c>
      <c r="K40" s="20" t="inlineStr"/>
      <c r="L40" s="20" t="inlineStr"/>
    </row>
    <row r="41">
      <c r="A41" s="27" t="n">
        <v>46393</v>
      </c>
      <c r="B41" s="20" t="inlineStr">
        <is>
          <t>Wed</t>
        </is>
      </c>
      <c r="C41" s="20" t="inlineStr">
        <is>
          <t>Q2</t>
        </is>
      </c>
      <c r="D41" s="20">
        <f>ROW()-1</f>
        <v/>
      </c>
      <c r="E41" s="24" t="inlineStr">
        <is>
          <t>U4-C1L5</t>
        </is>
      </c>
      <c r="F41" s="20">
        <f>IFERROR(VLOOKUP($E41,'Lesson Bank'!$A:$L,3,FALSE)&amp;"","")</f>
        <v/>
      </c>
      <c r="G41" s="20">
        <f>IFERROR(VLOOKUP($E41,'Lesson Bank'!$A:$L,4,FALSE)&amp;"","")</f>
        <v/>
      </c>
      <c r="H41" s="20">
        <f>IFERROR(VLOOKUP($E41,'Lesson Bank'!$A:$L,6,FALSE)&amp;"","")</f>
        <v/>
      </c>
      <c r="I41" s="20">
        <f>IFERROR(VLOOKUP($E41,'Lesson Bank'!$A:$L,8,FALSE)&amp;"","")</f>
        <v/>
      </c>
      <c r="J41" s="20">
        <f>IFERROR(VLOOKUP($E41,'Lesson Bank'!$A:$L,5,FALSE),$E41)</f>
        <v/>
      </c>
      <c r="K41" s="20" t="inlineStr"/>
      <c r="L41" s="20" t="inlineStr"/>
    </row>
    <row r="42">
      <c r="A42" s="27" t="n">
        <v>46395</v>
      </c>
      <c r="B42" s="20" t="inlineStr">
        <is>
          <t>Fri</t>
        </is>
      </c>
      <c r="C42" s="20" t="inlineStr">
        <is>
          <t>Q2</t>
        </is>
      </c>
      <c r="D42" s="20">
        <f>ROW()-1</f>
        <v/>
      </c>
      <c r="E42" s="24" t="inlineStr">
        <is>
          <t>U4-C2L1</t>
        </is>
      </c>
      <c r="F42" s="20">
        <f>IFERROR(VLOOKUP($E42,'Lesson Bank'!$A:$L,3,FALSE)&amp;"","")</f>
        <v/>
      </c>
      <c r="G42" s="20">
        <f>IFERROR(VLOOKUP($E42,'Lesson Bank'!$A:$L,4,FALSE)&amp;"","")</f>
        <v/>
      </c>
      <c r="H42" s="20">
        <f>IFERROR(VLOOKUP($E42,'Lesson Bank'!$A:$L,6,FALSE)&amp;"","")</f>
        <v/>
      </c>
      <c r="I42" s="20">
        <f>IFERROR(VLOOKUP($E42,'Lesson Bank'!$A:$L,8,FALSE)&amp;"","")</f>
        <v/>
      </c>
      <c r="J42" s="20">
        <f>IFERROR(VLOOKUP($E42,'Lesson Bank'!$A:$L,5,FALSE),$E42)</f>
        <v/>
      </c>
      <c r="K42" s="20" t="inlineStr"/>
      <c r="L42" s="20" t="inlineStr"/>
    </row>
    <row r="43">
      <c r="A43" s="27" t="n">
        <v>46399</v>
      </c>
      <c r="B43" s="20" t="inlineStr">
        <is>
          <t>Tue</t>
        </is>
      </c>
      <c r="C43" s="20" t="inlineStr">
        <is>
          <t>Q2</t>
        </is>
      </c>
      <c r="D43" s="20">
        <f>ROW()-1</f>
        <v/>
      </c>
      <c r="E43" s="24" t="inlineStr">
        <is>
          <t>U4-C2L2</t>
        </is>
      </c>
      <c r="F43" s="20">
        <f>IFERROR(VLOOKUP($E43,'Lesson Bank'!$A:$L,3,FALSE)&amp;"","")</f>
        <v/>
      </c>
      <c r="G43" s="20">
        <f>IFERROR(VLOOKUP($E43,'Lesson Bank'!$A:$L,4,FALSE)&amp;"","")</f>
        <v/>
      </c>
      <c r="H43" s="20">
        <f>IFERROR(VLOOKUP($E43,'Lesson Bank'!$A:$L,6,FALSE)&amp;"","")</f>
        <v/>
      </c>
      <c r="I43" s="20">
        <f>IFERROR(VLOOKUP($E43,'Lesson Bank'!$A:$L,8,FALSE)&amp;"","")</f>
        <v/>
      </c>
      <c r="J43" s="20">
        <f>IFERROR(VLOOKUP($E43,'Lesson Bank'!$A:$L,5,FALSE),$E43)</f>
        <v/>
      </c>
      <c r="K43" s="20" t="inlineStr"/>
      <c r="L43" s="20" t="inlineStr"/>
    </row>
    <row r="44">
      <c r="A44" s="27" t="n">
        <v>46401</v>
      </c>
      <c r="B44" s="20" t="inlineStr">
        <is>
          <t>Thu</t>
        </is>
      </c>
      <c r="C44" s="20" t="inlineStr">
        <is>
          <t>Q2</t>
        </is>
      </c>
      <c r="D44" s="20">
        <f>ROW()-1</f>
        <v/>
      </c>
      <c r="E44" s="24" t="inlineStr">
        <is>
          <t>U5-C1L1</t>
        </is>
      </c>
      <c r="F44" s="20">
        <f>IFERROR(VLOOKUP($E44,'Lesson Bank'!$A:$L,3,FALSE)&amp;"","")</f>
        <v/>
      </c>
      <c r="G44" s="20">
        <f>IFERROR(VLOOKUP($E44,'Lesson Bank'!$A:$L,4,FALSE)&amp;"","")</f>
        <v/>
      </c>
      <c r="H44" s="20">
        <f>IFERROR(VLOOKUP($E44,'Lesson Bank'!$A:$L,6,FALSE)&amp;"","")</f>
        <v/>
      </c>
      <c r="I44" s="20">
        <f>IFERROR(VLOOKUP($E44,'Lesson Bank'!$A:$L,8,FALSE)&amp;"","")</f>
        <v/>
      </c>
      <c r="J44" s="20">
        <f>IFERROR(VLOOKUP($E44,'Lesson Bank'!$A:$L,5,FALSE),$E44)</f>
        <v/>
      </c>
      <c r="K44" s="20" t="inlineStr"/>
      <c r="L44" s="20" t="inlineStr"/>
    </row>
    <row r="45">
      <c r="A45" s="27" t="n">
        <v>46406</v>
      </c>
      <c r="B45" s="20" t="inlineStr">
        <is>
          <t>Tue</t>
        </is>
      </c>
      <c r="C45" s="20" t="inlineStr">
        <is>
          <t>Q2</t>
        </is>
      </c>
      <c r="D45" s="20">
        <f>ROW()-1</f>
        <v/>
      </c>
      <c r="E45" s="24" t="inlineStr">
        <is>
          <t>Q2-BM</t>
        </is>
      </c>
      <c r="F45" s="20">
        <f>IFERROR(VLOOKUP($E45,'Lesson Bank'!$A:$L,3,FALSE)&amp;"","")</f>
        <v/>
      </c>
      <c r="G45" s="20">
        <f>IFERROR(VLOOKUP($E45,'Lesson Bank'!$A:$L,4,FALSE)&amp;"","")</f>
        <v/>
      </c>
      <c r="H45" s="20">
        <f>IFERROR(VLOOKUP($E45,'Lesson Bank'!$A:$L,6,FALSE)&amp;"","")</f>
        <v/>
      </c>
      <c r="I45" s="20">
        <f>IFERROR(VLOOKUP($E45,'Lesson Bank'!$A:$L,8,FALSE)&amp;"","")</f>
        <v/>
      </c>
      <c r="J45" s="20">
        <f>IFERROR(VLOOKUP($E45,'Lesson Bank'!$A:$L,5,FALSE),$E45)</f>
        <v/>
      </c>
      <c r="K45" s="20" t="inlineStr">
        <is>
          <t>Last class day before semester exams</t>
        </is>
      </c>
      <c r="L45" s="20" t="inlineStr"/>
    </row>
    <row r="46">
      <c r="A46" s="27" t="n">
        <v>46415</v>
      </c>
      <c r="B46" s="20" t="inlineStr">
        <is>
          <t>Thu</t>
        </is>
      </c>
      <c r="C46" s="20" t="inlineStr">
        <is>
          <t>Q3</t>
        </is>
      </c>
      <c r="D46" s="20">
        <f>ROW()-1</f>
        <v/>
      </c>
      <c r="E46" s="24" t="inlineStr">
        <is>
          <t>U5-C1L2</t>
        </is>
      </c>
      <c r="F46" s="20">
        <f>IFERROR(VLOOKUP($E46,'Lesson Bank'!$A:$L,3,FALSE)&amp;"","")</f>
        <v/>
      </c>
      <c r="G46" s="20">
        <f>IFERROR(VLOOKUP($E46,'Lesson Bank'!$A:$L,4,FALSE)&amp;"","")</f>
        <v/>
      </c>
      <c r="H46" s="20">
        <f>IFERROR(VLOOKUP($E46,'Lesson Bank'!$A:$L,6,FALSE)&amp;"","")</f>
        <v/>
      </c>
      <c r="I46" s="20">
        <f>IFERROR(VLOOKUP($E46,'Lesson Bank'!$A:$L,8,FALSE)&amp;"","")</f>
        <v/>
      </c>
      <c r="J46" s="20">
        <f>IFERROR(VLOOKUP($E46,'Lesson Bank'!$A:$L,5,FALSE),$E46)</f>
        <v/>
      </c>
      <c r="K46" s="20" t="inlineStr"/>
      <c r="L46" s="20" t="inlineStr"/>
    </row>
    <row r="47">
      <c r="A47" s="27" t="n">
        <v>46419</v>
      </c>
      <c r="B47" s="20" t="inlineStr">
        <is>
          <t>Mon</t>
        </is>
      </c>
      <c r="C47" s="20" t="inlineStr">
        <is>
          <t>Q3</t>
        </is>
      </c>
      <c r="D47" s="20">
        <f>ROW()-1</f>
        <v/>
      </c>
      <c r="E47" s="24" t="inlineStr">
        <is>
          <t>U5-C1L3</t>
        </is>
      </c>
      <c r="F47" s="20">
        <f>IFERROR(VLOOKUP($E47,'Lesson Bank'!$A:$L,3,FALSE)&amp;"","")</f>
        <v/>
      </c>
      <c r="G47" s="20">
        <f>IFERROR(VLOOKUP($E47,'Lesson Bank'!$A:$L,4,FALSE)&amp;"","")</f>
        <v/>
      </c>
      <c r="H47" s="20">
        <f>IFERROR(VLOOKUP($E47,'Lesson Bank'!$A:$L,6,FALSE)&amp;"","")</f>
        <v/>
      </c>
      <c r="I47" s="20">
        <f>IFERROR(VLOOKUP($E47,'Lesson Bank'!$A:$L,8,FALSE)&amp;"","")</f>
        <v/>
      </c>
      <c r="J47" s="20">
        <f>IFERROR(VLOOKUP($E47,'Lesson Bank'!$A:$L,5,FALSE),$E47)</f>
        <v/>
      </c>
      <c r="K47" s="20" t="inlineStr"/>
      <c r="L47" s="20" t="inlineStr"/>
    </row>
    <row r="48">
      <c r="A48" s="27" t="n">
        <v>46421</v>
      </c>
      <c r="B48" s="20" t="inlineStr">
        <is>
          <t>Wed</t>
        </is>
      </c>
      <c r="C48" s="20" t="inlineStr">
        <is>
          <t>Q3</t>
        </is>
      </c>
      <c r="D48" s="20">
        <f>ROW()-1</f>
        <v/>
      </c>
      <c r="E48" s="24" t="inlineStr">
        <is>
          <t>U5-C1L4</t>
        </is>
      </c>
      <c r="F48" s="20">
        <f>IFERROR(VLOOKUP($E48,'Lesson Bank'!$A:$L,3,FALSE)&amp;"","")</f>
        <v/>
      </c>
      <c r="G48" s="20">
        <f>IFERROR(VLOOKUP($E48,'Lesson Bank'!$A:$L,4,FALSE)&amp;"","")</f>
        <v/>
      </c>
      <c r="H48" s="20">
        <f>IFERROR(VLOOKUP($E48,'Lesson Bank'!$A:$L,6,FALSE)&amp;"","")</f>
        <v/>
      </c>
      <c r="I48" s="20">
        <f>IFERROR(VLOOKUP($E48,'Lesson Bank'!$A:$L,8,FALSE)&amp;"","")</f>
        <v/>
      </c>
      <c r="J48" s="20">
        <f>IFERROR(VLOOKUP($E48,'Lesson Bank'!$A:$L,5,FALSE),$E48)</f>
        <v/>
      </c>
      <c r="K48" s="20" t="inlineStr"/>
      <c r="L48" s="20" t="inlineStr"/>
    </row>
    <row r="49">
      <c r="A49" s="27" t="n">
        <v>46423</v>
      </c>
      <c r="B49" s="20" t="inlineStr">
        <is>
          <t>Fri</t>
        </is>
      </c>
      <c r="C49" s="20" t="inlineStr">
        <is>
          <t>Q3</t>
        </is>
      </c>
      <c r="D49" s="20">
        <f>ROW()-1</f>
        <v/>
      </c>
      <c r="E49" s="24" t="inlineStr">
        <is>
          <t>U5-C1L5</t>
        </is>
      </c>
      <c r="F49" s="20">
        <f>IFERROR(VLOOKUP($E49,'Lesson Bank'!$A:$L,3,FALSE)&amp;"","")</f>
        <v/>
      </c>
      <c r="G49" s="20">
        <f>IFERROR(VLOOKUP($E49,'Lesson Bank'!$A:$L,4,FALSE)&amp;"","")</f>
        <v/>
      </c>
      <c r="H49" s="20">
        <f>IFERROR(VLOOKUP($E49,'Lesson Bank'!$A:$L,6,FALSE)&amp;"","")</f>
        <v/>
      </c>
      <c r="I49" s="20">
        <f>IFERROR(VLOOKUP($E49,'Lesson Bank'!$A:$L,8,FALSE)&amp;"","")</f>
        <v/>
      </c>
      <c r="J49" s="20">
        <f>IFERROR(VLOOKUP($E49,'Lesson Bank'!$A:$L,5,FALSE),$E49)</f>
        <v/>
      </c>
      <c r="K49" s="20" t="inlineStr"/>
      <c r="L49" s="20" t="inlineStr"/>
    </row>
    <row r="50">
      <c r="A50" s="27" t="n">
        <v>46427</v>
      </c>
      <c r="B50" s="20" t="inlineStr">
        <is>
          <t>Tue</t>
        </is>
      </c>
      <c r="C50" s="20" t="inlineStr">
        <is>
          <t>Q3</t>
        </is>
      </c>
      <c r="D50" s="20">
        <f>ROW()-1</f>
        <v/>
      </c>
      <c r="E50" s="24" t="inlineStr">
        <is>
          <t>LPA</t>
        </is>
      </c>
      <c r="F50" s="20">
        <f>IFERROR(VLOOKUP($E50,'Lesson Bank'!$A:$L,3,FALSE)&amp;"","")</f>
        <v/>
      </c>
      <c r="G50" s="20">
        <f>IFERROR(VLOOKUP($E50,'Lesson Bank'!$A:$L,4,FALSE)&amp;"","")</f>
        <v/>
      </c>
      <c r="H50" s="20">
        <f>IFERROR(VLOOKUP($E50,'Lesson Bank'!$A:$L,6,FALSE)&amp;"","")</f>
        <v/>
      </c>
      <c r="I50" s="20">
        <f>IFERROR(VLOOKUP($E50,'Lesson Bank'!$A:$L,8,FALSE)&amp;"","")</f>
        <v/>
      </c>
      <c r="J50" s="20">
        <f>IFERROR(VLOOKUP($E50,'Lesson Bank'!$A:$L,5,FALSE),$E50)</f>
        <v/>
      </c>
      <c r="K50" s="20" t="inlineStr"/>
      <c r="L50" s="20" t="inlineStr"/>
    </row>
    <row r="51">
      <c r="A51" s="27" t="n">
        <v>46429</v>
      </c>
      <c r="B51" s="20" t="inlineStr">
        <is>
          <t>Thu</t>
        </is>
      </c>
      <c r="C51" s="20" t="inlineStr">
        <is>
          <t>Q3</t>
        </is>
      </c>
      <c r="D51" s="20">
        <f>ROW()-1</f>
        <v/>
      </c>
      <c r="E51" s="24" t="inlineStr">
        <is>
          <t>U5-C2L1</t>
        </is>
      </c>
      <c r="F51" s="20">
        <f>IFERROR(VLOOKUP($E51,'Lesson Bank'!$A:$L,3,FALSE)&amp;"","")</f>
        <v/>
      </c>
      <c r="G51" s="20">
        <f>IFERROR(VLOOKUP($E51,'Lesson Bank'!$A:$L,4,FALSE)&amp;"","")</f>
        <v/>
      </c>
      <c r="H51" s="20">
        <f>IFERROR(VLOOKUP($E51,'Lesson Bank'!$A:$L,6,FALSE)&amp;"","")</f>
        <v/>
      </c>
      <c r="I51" s="20">
        <f>IFERROR(VLOOKUP($E51,'Lesson Bank'!$A:$L,8,FALSE)&amp;"","")</f>
        <v/>
      </c>
      <c r="J51" s="20">
        <f>IFERROR(VLOOKUP($E51,'Lesson Bank'!$A:$L,5,FALSE),$E51)</f>
        <v/>
      </c>
      <c r="K51" s="20" t="inlineStr"/>
      <c r="L51" s="20" t="inlineStr"/>
    </row>
    <row r="52">
      <c r="A52" s="27" t="n">
        <v>46434</v>
      </c>
      <c r="B52" s="20" t="inlineStr">
        <is>
          <t>Tue</t>
        </is>
      </c>
      <c r="C52" s="20" t="inlineStr">
        <is>
          <t>Q3</t>
        </is>
      </c>
      <c r="D52" s="20">
        <f>ROW()-1</f>
        <v/>
      </c>
      <c r="E52" s="24" t="inlineStr">
        <is>
          <t>U5-C2L2</t>
        </is>
      </c>
      <c r="F52" s="20">
        <f>IFERROR(VLOOKUP($E52,'Lesson Bank'!$A:$L,3,FALSE)&amp;"","")</f>
        <v/>
      </c>
      <c r="G52" s="20">
        <f>IFERROR(VLOOKUP($E52,'Lesson Bank'!$A:$L,4,FALSE)&amp;"","")</f>
        <v/>
      </c>
      <c r="H52" s="20">
        <f>IFERROR(VLOOKUP($E52,'Lesson Bank'!$A:$L,6,FALSE)&amp;"","")</f>
        <v/>
      </c>
      <c r="I52" s="20">
        <f>IFERROR(VLOOKUP($E52,'Lesson Bank'!$A:$L,8,FALSE)&amp;"","")</f>
        <v/>
      </c>
      <c r="J52" s="20">
        <f>IFERROR(VLOOKUP($E52,'Lesson Bank'!$A:$L,5,FALSE),$E52)</f>
        <v/>
      </c>
      <c r="K52" s="20" t="inlineStr"/>
      <c r="L52" s="20" t="inlineStr"/>
    </row>
    <row r="53">
      <c r="A53" s="27" t="n">
        <v>46436</v>
      </c>
      <c r="B53" s="20" t="inlineStr">
        <is>
          <t>Thu</t>
        </is>
      </c>
      <c r="C53" s="20" t="inlineStr">
        <is>
          <t>Q3</t>
        </is>
      </c>
      <c r="D53" s="20">
        <f>ROW()-1</f>
        <v/>
      </c>
      <c r="E53" s="24" t="inlineStr">
        <is>
          <t>U5-C2L3</t>
        </is>
      </c>
      <c r="F53" s="20">
        <f>IFERROR(VLOOKUP($E53,'Lesson Bank'!$A:$L,3,FALSE)&amp;"","")</f>
        <v/>
      </c>
      <c r="G53" s="20">
        <f>IFERROR(VLOOKUP($E53,'Lesson Bank'!$A:$L,4,FALSE)&amp;"","")</f>
        <v/>
      </c>
      <c r="H53" s="20">
        <f>IFERROR(VLOOKUP($E53,'Lesson Bank'!$A:$L,6,FALSE)&amp;"","")</f>
        <v/>
      </c>
      <c r="I53" s="20">
        <f>IFERROR(VLOOKUP($E53,'Lesson Bank'!$A:$L,8,FALSE)&amp;"","")</f>
        <v/>
      </c>
      <c r="J53" s="20">
        <f>IFERROR(VLOOKUP($E53,'Lesson Bank'!$A:$L,5,FALSE),$E53)</f>
        <v/>
      </c>
      <c r="K53" s="20" t="inlineStr"/>
      <c r="L53" s="20" t="inlineStr"/>
    </row>
    <row r="54">
      <c r="A54" s="27" t="n">
        <v>46440</v>
      </c>
      <c r="B54" s="20" t="inlineStr">
        <is>
          <t>Mon</t>
        </is>
      </c>
      <c r="C54" s="20" t="inlineStr">
        <is>
          <t>Q3</t>
        </is>
      </c>
      <c r="D54" s="20">
        <f>ROW()-1</f>
        <v/>
      </c>
      <c r="E54" s="24" t="inlineStr">
        <is>
          <t>U5-C2L4</t>
        </is>
      </c>
      <c r="F54" s="20">
        <f>IFERROR(VLOOKUP($E54,'Lesson Bank'!$A:$L,3,FALSE)&amp;"","")</f>
        <v/>
      </c>
      <c r="G54" s="20">
        <f>IFERROR(VLOOKUP($E54,'Lesson Bank'!$A:$L,4,FALSE)&amp;"","")</f>
        <v/>
      </c>
      <c r="H54" s="20">
        <f>IFERROR(VLOOKUP($E54,'Lesson Bank'!$A:$L,6,FALSE)&amp;"","")</f>
        <v/>
      </c>
      <c r="I54" s="20">
        <f>IFERROR(VLOOKUP($E54,'Lesson Bank'!$A:$L,8,FALSE)&amp;"","")</f>
        <v/>
      </c>
      <c r="J54" s="20">
        <f>IFERROR(VLOOKUP($E54,'Lesson Bank'!$A:$L,5,FALSE),$E54)</f>
        <v/>
      </c>
      <c r="K54" s="20" t="inlineStr"/>
      <c r="L54" s="20" t="inlineStr"/>
    </row>
    <row r="55">
      <c r="A55" s="27" t="n">
        <v>46442</v>
      </c>
      <c r="B55" s="20" t="inlineStr">
        <is>
          <t>Wed</t>
        </is>
      </c>
      <c r="C55" s="20" t="inlineStr">
        <is>
          <t>Q3</t>
        </is>
      </c>
      <c r="D55" s="20">
        <f>ROW()-1</f>
        <v/>
      </c>
      <c r="E55" s="24" t="inlineStr">
        <is>
          <t>U5-C2L5</t>
        </is>
      </c>
      <c r="F55" s="20">
        <f>IFERROR(VLOOKUP($E55,'Lesson Bank'!$A:$L,3,FALSE)&amp;"","")</f>
        <v/>
      </c>
      <c r="G55" s="20">
        <f>IFERROR(VLOOKUP($E55,'Lesson Bank'!$A:$L,4,FALSE)&amp;"","")</f>
        <v/>
      </c>
      <c r="H55" s="20">
        <f>IFERROR(VLOOKUP($E55,'Lesson Bank'!$A:$L,6,FALSE)&amp;"","")</f>
        <v/>
      </c>
      <c r="I55" s="20">
        <f>IFERROR(VLOOKUP($E55,'Lesson Bank'!$A:$L,8,FALSE)&amp;"","")</f>
        <v/>
      </c>
      <c r="J55" s="20">
        <f>IFERROR(VLOOKUP($E55,'Lesson Bank'!$A:$L,5,FALSE),$E55)</f>
        <v/>
      </c>
      <c r="K55" s="20" t="inlineStr"/>
      <c r="L55" s="20" t="inlineStr"/>
    </row>
    <row r="56">
      <c r="A56" s="27" t="n">
        <v>46444</v>
      </c>
      <c r="B56" s="20" t="inlineStr">
        <is>
          <t>Fri</t>
        </is>
      </c>
      <c r="C56" s="20" t="inlineStr">
        <is>
          <t>Q3</t>
        </is>
      </c>
      <c r="D56" s="20">
        <f>ROW()-1</f>
        <v/>
      </c>
      <c r="E56" s="24" t="inlineStr">
        <is>
          <t>U5-C3L1</t>
        </is>
      </c>
      <c r="F56" s="20">
        <f>IFERROR(VLOOKUP($E56,'Lesson Bank'!$A:$L,3,FALSE)&amp;"","")</f>
        <v/>
      </c>
      <c r="G56" s="20">
        <f>IFERROR(VLOOKUP($E56,'Lesson Bank'!$A:$L,4,FALSE)&amp;"","")</f>
        <v/>
      </c>
      <c r="H56" s="20">
        <f>IFERROR(VLOOKUP($E56,'Lesson Bank'!$A:$L,6,FALSE)&amp;"","")</f>
        <v/>
      </c>
      <c r="I56" s="20">
        <f>IFERROR(VLOOKUP($E56,'Lesson Bank'!$A:$L,8,FALSE)&amp;"","")</f>
        <v/>
      </c>
      <c r="J56" s="20">
        <f>IFERROR(VLOOKUP($E56,'Lesson Bank'!$A:$L,5,FALSE),$E56)</f>
        <v/>
      </c>
      <c r="K56" s="20" t="inlineStr"/>
      <c r="L56" s="20" t="inlineStr"/>
    </row>
    <row r="57">
      <c r="A57" s="27" t="n">
        <v>46448</v>
      </c>
      <c r="B57" s="20" t="inlineStr">
        <is>
          <t>Tue</t>
        </is>
      </c>
      <c r="C57" s="20" t="inlineStr">
        <is>
          <t>Q3</t>
        </is>
      </c>
      <c r="D57" s="20">
        <f>ROW()-1</f>
        <v/>
      </c>
      <c r="E57" s="24" t="inlineStr">
        <is>
          <t>U5-C3L2</t>
        </is>
      </c>
      <c r="F57" s="20">
        <f>IFERROR(VLOOKUP($E57,'Lesson Bank'!$A:$L,3,FALSE)&amp;"","")</f>
        <v/>
      </c>
      <c r="G57" s="20">
        <f>IFERROR(VLOOKUP($E57,'Lesson Bank'!$A:$L,4,FALSE)&amp;"","")</f>
        <v/>
      </c>
      <c r="H57" s="20">
        <f>IFERROR(VLOOKUP($E57,'Lesson Bank'!$A:$L,6,FALSE)&amp;"","")</f>
        <v/>
      </c>
      <c r="I57" s="20">
        <f>IFERROR(VLOOKUP($E57,'Lesson Bank'!$A:$L,8,FALSE)&amp;"","")</f>
        <v/>
      </c>
      <c r="J57" s="20">
        <f>IFERROR(VLOOKUP($E57,'Lesson Bank'!$A:$L,5,FALSE),$E57)</f>
        <v/>
      </c>
      <c r="K57" s="20" t="inlineStr"/>
      <c r="L57" s="20" t="inlineStr"/>
    </row>
    <row r="58">
      <c r="A58" s="27" t="n">
        <v>46450</v>
      </c>
      <c r="B58" s="20" t="inlineStr">
        <is>
          <t>Thu</t>
        </is>
      </c>
      <c r="C58" s="20" t="inlineStr">
        <is>
          <t>Q3</t>
        </is>
      </c>
      <c r="D58" s="20">
        <f>ROW()-1</f>
        <v/>
      </c>
      <c r="E58" s="24" t="inlineStr">
        <is>
          <t>U5-C3L3</t>
        </is>
      </c>
      <c r="F58" s="20">
        <f>IFERROR(VLOOKUP($E58,'Lesson Bank'!$A:$L,3,FALSE)&amp;"","")</f>
        <v/>
      </c>
      <c r="G58" s="20">
        <f>IFERROR(VLOOKUP($E58,'Lesson Bank'!$A:$L,4,FALSE)&amp;"","")</f>
        <v/>
      </c>
      <c r="H58" s="20">
        <f>IFERROR(VLOOKUP($E58,'Lesson Bank'!$A:$L,6,FALSE)&amp;"","")</f>
        <v/>
      </c>
      <c r="I58" s="20">
        <f>IFERROR(VLOOKUP($E58,'Lesson Bank'!$A:$L,8,FALSE)&amp;"","")</f>
        <v/>
      </c>
      <c r="J58" s="20">
        <f>IFERROR(VLOOKUP($E58,'Lesson Bank'!$A:$L,5,FALSE),$E58)</f>
        <v/>
      </c>
      <c r="K58" s="20" t="inlineStr"/>
      <c r="L58" s="20" t="inlineStr"/>
    </row>
    <row r="59">
      <c r="A59" s="27" t="n">
        <v>46454</v>
      </c>
      <c r="B59" s="20" t="inlineStr">
        <is>
          <t>Mon</t>
        </is>
      </c>
      <c r="C59" s="20" t="inlineStr">
        <is>
          <t>Q3</t>
        </is>
      </c>
      <c r="D59" s="20">
        <f>ROW()-1</f>
        <v/>
      </c>
      <c r="E59" s="24" t="inlineStr">
        <is>
          <t>Q3-MQ</t>
        </is>
      </c>
      <c r="F59" s="20">
        <f>IFERROR(VLOOKUP($E59,'Lesson Bank'!$A:$L,3,FALSE)&amp;"","")</f>
        <v/>
      </c>
      <c r="G59" s="20">
        <f>IFERROR(VLOOKUP($E59,'Lesson Bank'!$A:$L,4,FALSE)&amp;"","")</f>
        <v/>
      </c>
      <c r="H59" s="20">
        <f>IFERROR(VLOOKUP($E59,'Lesson Bank'!$A:$L,6,FALSE)&amp;"","")</f>
        <v/>
      </c>
      <c r="I59" s="20">
        <f>IFERROR(VLOOKUP($E59,'Lesson Bank'!$A:$L,8,FALSE)&amp;"","")</f>
        <v/>
      </c>
      <c r="J59" s="20">
        <f>IFERROR(VLOOKUP($E59,'Lesson Bank'!$A:$L,5,FALSE),$E59)</f>
        <v/>
      </c>
      <c r="K59" s="20" t="inlineStr"/>
      <c r="L59" s="20" t="inlineStr"/>
    </row>
    <row r="60">
      <c r="A60" s="27" t="n">
        <v>46456</v>
      </c>
      <c r="B60" s="20" t="inlineStr">
        <is>
          <t>Wed</t>
        </is>
      </c>
      <c r="C60" s="20" t="inlineStr">
        <is>
          <t>Q3</t>
        </is>
      </c>
      <c r="D60" s="20">
        <f>ROW()-1</f>
        <v/>
      </c>
      <c r="E60" s="24" t="inlineStr">
        <is>
          <t>U5-C3L4</t>
        </is>
      </c>
      <c r="F60" s="20">
        <f>IFERROR(VLOOKUP($E60,'Lesson Bank'!$A:$L,3,FALSE)&amp;"","")</f>
        <v/>
      </c>
      <c r="G60" s="20">
        <f>IFERROR(VLOOKUP($E60,'Lesson Bank'!$A:$L,4,FALSE)&amp;"","")</f>
        <v/>
      </c>
      <c r="H60" s="20">
        <f>IFERROR(VLOOKUP($E60,'Lesson Bank'!$A:$L,6,FALSE)&amp;"","")</f>
        <v/>
      </c>
      <c r="I60" s="20">
        <f>IFERROR(VLOOKUP($E60,'Lesson Bank'!$A:$L,8,FALSE)&amp;"","")</f>
        <v/>
      </c>
      <c r="J60" s="20">
        <f>IFERROR(VLOOKUP($E60,'Lesson Bank'!$A:$L,5,FALSE),$E60)</f>
        <v/>
      </c>
      <c r="K60" s="20" t="inlineStr"/>
      <c r="L60" s="20" t="inlineStr"/>
    </row>
    <row r="61">
      <c r="A61" s="27" t="n">
        <v>46458</v>
      </c>
      <c r="B61" s="20" t="inlineStr">
        <is>
          <t>Fri</t>
        </is>
      </c>
      <c r="C61" s="20" t="inlineStr">
        <is>
          <t>Q3</t>
        </is>
      </c>
      <c r="D61" s="20">
        <f>ROW()-1</f>
        <v/>
      </c>
      <c r="E61" s="24" t="inlineStr">
        <is>
          <t>U5-C3L5</t>
        </is>
      </c>
      <c r="F61" s="20">
        <f>IFERROR(VLOOKUP($E61,'Lesson Bank'!$A:$L,3,FALSE)&amp;"","")</f>
        <v/>
      </c>
      <c r="G61" s="20">
        <f>IFERROR(VLOOKUP($E61,'Lesson Bank'!$A:$L,4,FALSE)&amp;"","")</f>
        <v/>
      </c>
      <c r="H61" s="20">
        <f>IFERROR(VLOOKUP($E61,'Lesson Bank'!$A:$L,6,FALSE)&amp;"","")</f>
        <v/>
      </c>
      <c r="I61" s="20">
        <f>IFERROR(VLOOKUP($E61,'Lesson Bank'!$A:$L,8,FALSE)&amp;"","")</f>
        <v/>
      </c>
      <c r="J61" s="20">
        <f>IFERROR(VLOOKUP($E61,'Lesson Bank'!$A:$L,5,FALSE),$E61)</f>
        <v/>
      </c>
      <c r="K61" s="20" t="inlineStr"/>
      <c r="L61" s="20" t="inlineStr"/>
    </row>
    <row r="62">
      <c r="A62" s="27" t="n">
        <v>46462</v>
      </c>
      <c r="B62" s="20" t="inlineStr">
        <is>
          <t>Tue</t>
        </is>
      </c>
      <c r="C62" s="20" t="inlineStr">
        <is>
          <t>Q3</t>
        </is>
      </c>
      <c r="D62" s="20">
        <f>ROW()-1</f>
        <v/>
      </c>
      <c r="E62" s="24" t="inlineStr">
        <is>
          <t>U5-C4L1</t>
        </is>
      </c>
      <c r="F62" s="20">
        <f>IFERROR(VLOOKUP($E62,'Lesson Bank'!$A:$L,3,FALSE)&amp;"","")</f>
        <v/>
      </c>
      <c r="G62" s="20">
        <f>IFERROR(VLOOKUP($E62,'Lesson Bank'!$A:$L,4,FALSE)&amp;"","")</f>
        <v/>
      </c>
      <c r="H62" s="20">
        <f>IFERROR(VLOOKUP($E62,'Lesson Bank'!$A:$L,6,FALSE)&amp;"","")</f>
        <v/>
      </c>
      <c r="I62" s="20">
        <f>IFERROR(VLOOKUP($E62,'Lesson Bank'!$A:$L,8,FALSE)&amp;"","")</f>
        <v/>
      </c>
      <c r="J62" s="20">
        <f>IFERROR(VLOOKUP($E62,'Lesson Bank'!$A:$L,5,FALSE),$E62)</f>
        <v/>
      </c>
      <c r="K62" s="20" t="inlineStr"/>
      <c r="L62" s="20" t="inlineStr"/>
    </row>
    <row r="63">
      <c r="A63" s="27" t="n">
        <v>46464</v>
      </c>
      <c r="B63" s="20" t="inlineStr">
        <is>
          <t>Thu</t>
        </is>
      </c>
      <c r="C63" s="20" t="inlineStr">
        <is>
          <t>Q3</t>
        </is>
      </c>
      <c r="D63" s="20">
        <f>ROW()-1</f>
        <v/>
      </c>
      <c r="E63" s="24" t="inlineStr">
        <is>
          <t>U5-C4L2</t>
        </is>
      </c>
      <c r="F63" s="20">
        <f>IFERROR(VLOOKUP($E63,'Lesson Bank'!$A:$L,3,FALSE)&amp;"","")</f>
        <v/>
      </c>
      <c r="G63" s="20">
        <f>IFERROR(VLOOKUP($E63,'Lesson Bank'!$A:$L,4,FALSE)&amp;"","")</f>
        <v/>
      </c>
      <c r="H63" s="20">
        <f>IFERROR(VLOOKUP($E63,'Lesson Bank'!$A:$L,6,FALSE)&amp;"","")</f>
        <v/>
      </c>
      <c r="I63" s="20">
        <f>IFERROR(VLOOKUP($E63,'Lesson Bank'!$A:$L,8,FALSE)&amp;"","")</f>
        <v/>
      </c>
      <c r="J63" s="20">
        <f>IFERROR(VLOOKUP($E63,'Lesson Bank'!$A:$L,5,FALSE),$E63)</f>
        <v/>
      </c>
      <c r="K63" s="20" t="inlineStr"/>
      <c r="L63" s="20" t="inlineStr"/>
    </row>
    <row r="64">
      <c r="A64" s="27" t="n">
        <v>46468</v>
      </c>
      <c r="B64" s="20" t="inlineStr">
        <is>
          <t>Mon</t>
        </is>
      </c>
      <c r="C64" s="20" t="inlineStr">
        <is>
          <t>Q3</t>
        </is>
      </c>
      <c r="D64" s="20">
        <f>ROW()-1</f>
        <v/>
      </c>
      <c r="E64" s="24" t="inlineStr">
        <is>
          <t>U5-C4L3</t>
        </is>
      </c>
      <c r="F64" s="20">
        <f>IFERROR(VLOOKUP($E64,'Lesson Bank'!$A:$L,3,FALSE)&amp;"","")</f>
        <v/>
      </c>
      <c r="G64" s="20">
        <f>IFERROR(VLOOKUP($E64,'Lesson Bank'!$A:$L,4,FALSE)&amp;"","")</f>
        <v/>
      </c>
      <c r="H64" s="20">
        <f>IFERROR(VLOOKUP($E64,'Lesson Bank'!$A:$L,6,FALSE)&amp;"","")</f>
        <v/>
      </c>
      <c r="I64" s="20">
        <f>IFERROR(VLOOKUP($E64,'Lesson Bank'!$A:$L,8,FALSE)&amp;"","")</f>
        <v/>
      </c>
      <c r="J64" s="20">
        <f>IFERROR(VLOOKUP($E64,'Lesson Bank'!$A:$L,5,FALSE),$E64)</f>
        <v/>
      </c>
      <c r="K64" s="20" t="inlineStr"/>
      <c r="L64" s="20" t="inlineStr"/>
    </row>
    <row r="65">
      <c r="A65" s="27" t="n">
        <v>46470</v>
      </c>
      <c r="B65" s="20" t="inlineStr">
        <is>
          <t>Wed</t>
        </is>
      </c>
      <c r="C65" s="20" t="inlineStr">
        <is>
          <t>Q3</t>
        </is>
      </c>
      <c r="D65" s="20">
        <f>ROW()-1</f>
        <v/>
      </c>
      <c r="E65" s="24" t="inlineStr">
        <is>
          <t>U5-C4L4</t>
        </is>
      </c>
      <c r="F65" s="20">
        <f>IFERROR(VLOOKUP($E65,'Lesson Bank'!$A:$L,3,FALSE)&amp;"","")</f>
        <v/>
      </c>
      <c r="G65" s="20">
        <f>IFERROR(VLOOKUP($E65,'Lesson Bank'!$A:$L,4,FALSE)&amp;"","")</f>
        <v/>
      </c>
      <c r="H65" s="20">
        <f>IFERROR(VLOOKUP($E65,'Lesson Bank'!$A:$L,6,FALSE)&amp;"","")</f>
        <v/>
      </c>
      <c r="I65" s="20">
        <f>IFERROR(VLOOKUP($E65,'Lesson Bank'!$A:$L,8,FALSE)&amp;"","")</f>
        <v/>
      </c>
      <c r="J65" s="20">
        <f>IFERROR(VLOOKUP($E65,'Lesson Bank'!$A:$L,5,FALSE),$E65)</f>
        <v/>
      </c>
      <c r="K65" s="20" t="inlineStr"/>
      <c r="L65" s="20" t="inlineStr"/>
    </row>
    <row r="66">
      <c r="A66" s="27" t="n">
        <v>46472</v>
      </c>
      <c r="B66" s="20" t="inlineStr">
        <is>
          <t>Fri</t>
        </is>
      </c>
      <c r="C66" s="20" t="inlineStr">
        <is>
          <t>Q3</t>
        </is>
      </c>
      <c r="D66" s="20">
        <f>ROW()-1</f>
        <v/>
      </c>
      <c r="E66" s="24" t="inlineStr">
        <is>
          <t>U5-C4L5</t>
        </is>
      </c>
      <c r="F66" s="20">
        <f>IFERROR(VLOOKUP($E66,'Lesson Bank'!$A:$L,3,FALSE)&amp;"","")</f>
        <v/>
      </c>
      <c r="G66" s="20">
        <f>IFERROR(VLOOKUP($E66,'Lesson Bank'!$A:$L,4,FALSE)&amp;"","")</f>
        <v/>
      </c>
      <c r="H66" s="20">
        <f>IFERROR(VLOOKUP($E66,'Lesson Bank'!$A:$L,6,FALSE)&amp;"","")</f>
        <v/>
      </c>
      <c r="I66" s="20">
        <f>IFERROR(VLOOKUP($E66,'Lesson Bank'!$A:$L,8,FALSE)&amp;"","")</f>
        <v/>
      </c>
      <c r="J66" s="20">
        <f>IFERROR(VLOOKUP($E66,'Lesson Bank'!$A:$L,5,FALSE),$E66)</f>
        <v/>
      </c>
      <c r="K66" s="20" t="inlineStr"/>
      <c r="L66" s="20" t="inlineStr"/>
    </row>
    <row r="67">
      <c r="A67" s="27" t="n">
        <v>46476</v>
      </c>
      <c r="B67" s="20" t="inlineStr">
        <is>
          <t>Tue</t>
        </is>
      </c>
      <c r="C67" s="20" t="inlineStr">
        <is>
          <t>Q3</t>
        </is>
      </c>
      <c r="D67" s="20">
        <f>ROW()-1</f>
        <v/>
      </c>
      <c r="E67" s="24" t="inlineStr">
        <is>
          <t>Q3-BM</t>
        </is>
      </c>
      <c r="F67" s="20">
        <f>IFERROR(VLOOKUP($E67,'Lesson Bank'!$A:$L,3,FALSE)&amp;"","")</f>
        <v/>
      </c>
      <c r="G67" s="20">
        <f>IFERROR(VLOOKUP($E67,'Lesson Bank'!$A:$L,4,FALSE)&amp;"","")</f>
        <v/>
      </c>
      <c r="H67" s="20">
        <f>IFERROR(VLOOKUP($E67,'Lesson Bank'!$A:$L,6,FALSE)&amp;"","")</f>
        <v/>
      </c>
      <c r="I67" s="20">
        <f>IFERROR(VLOOKUP($E67,'Lesson Bank'!$A:$L,8,FALSE)&amp;"","")</f>
        <v/>
      </c>
      <c r="J67" s="20">
        <f>IFERROR(VLOOKUP($E67,'Lesson Bank'!$A:$L,5,FALSE),$E67)</f>
        <v/>
      </c>
      <c r="K67" s="20" t="inlineStr"/>
      <c r="L67" s="20" t="inlineStr"/>
    </row>
    <row r="68">
      <c r="A68" s="27" t="n">
        <v>46478</v>
      </c>
      <c r="B68" s="20" t="inlineStr">
        <is>
          <t>Thu</t>
        </is>
      </c>
      <c r="C68" s="20" t="inlineStr">
        <is>
          <t>Q3</t>
        </is>
      </c>
      <c r="D68" s="20">
        <f>ROW()-1</f>
        <v/>
      </c>
      <c r="E68" s="24" t="inlineStr">
        <is>
          <t>U5-C5L2</t>
        </is>
      </c>
      <c r="F68" s="20">
        <f>IFERROR(VLOOKUP($E68,'Lesson Bank'!$A:$L,3,FALSE)&amp;"","")</f>
        <v/>
      </c>
      <c r="G68" s="20">
        <f>IFERROR(VLOOKUP($E68,'Lesson Bank'!$A:$L,4,FALSE)&amp;"","")</f>
        <v/>
      </c>
      <c r="H68" s="20">
        <f>IFERROR(VLOOKUP($E68,'Lesson Bank'!$A:$L,6,FALSE)&amp;"","")</f>
        <v/>
      </c>
      <c r="I68" s="20">
        <f>IFERROR(VLOOKUP($E68,'Lesson Bank'!$A:$L,8,FALSE)&amp;"","")</f>
        <v/>
      </c>
      <c r="J68" s="20">
        <f>IFERROR(VLOOKUP($E68,'Lesson Bank'!$A:$L,5,FALSE),$E68)</f>
        <v/>
      </c>
      <c r="K68" s="20" t="inlineStr"/>
      <c r="L68" s="20" t="inlineStr"/>
    </row>
    <row r="69">
      <c r="A69" s="27" t="n">
        <v>46490</v>
      </c>
      <c r="B69" s="20" t="inlineStr">
        <is>
          <t>Tue</t>
        </is>
      </c>
      <c r="C69" s="20" t="inlineStr">
        <is>
          <t>Q4</t>
        </is>
      </c>
      <c r="D69" s="20">
        <f>ROW()-1</f>
        <v/>
      </c>
      <c r="E69" s="24" t="inlineStr">
        <is>
          <t>U5-C5L3</t>
        </is>
      </c>
      <c r="F69" s="20">
        <f>IFERROR(VLOOKUP($E69,'Lesson Bank'!$A:$L,3,FALSE)&amp;"","")</f>
        <v/>
      </c>
      <c r="G69" s="20">
        <f>IFERROR(VLOOKUP($E69,'Lesson Bank'!$A:$L,4,FALSE)&amp;"","")</f>
        <v/>
      </c>
      <c r="H69" s="20">
        <f>IFERROR(VLOOKUP($E69,'Lesson Bank'!$A:$L,6,FALSE)&amp;"","")</f>
        <v/>
      </c>
      <c r="I69" s="20">
        <f>IFERROR(VLOOKUP($E69,'Lesson Bank'!$A:$L,8,FALSE)&amp;"","")</f>
        <v/>
      </c>
      <c r="J69" s="20">
        <f>IFERROR(VLOOKUP($E69,'Lesson Bank'!$A:$L,5,FALSE),$E69)</f>
        <v/>
      </c>
      <c r="K69" s="20" t="inlineStr">
        <is>
          <t>First day of Q4</t>
        </is>
      </c>
      <c r="L69" s="20" t="inlineStr"/>
    </row>
    <row r="70">
      <c r="A70" s="27" t="n">
        <v>46492</v>
      </c>
      <c r="B70" s="20" t="inlineStr">
        <is>
          <t>Thu</t>
        </is>
      </c>
      <c r="C70" s="20" t="inlineStr">
        <is>
          <t>Q4</t>
        </is>
      </c>
      <c r="D70" s="20">
        <f>ROW()-1</f>
        <v/>
      </c>
      <c r="E70" s="24" t="inlineStr">
        <is>
          <t>U6-C1L1</t>
        </is>
      </c>
      <c r="F70" s="20">
        <f>IFERROR(VLOOKUP($E70,'Lesson Bank'!$A:$L,3,FALSE)&amp;"","")</f>
        <v/>
      </c>
      <c r="G70" s="20">
        <f>IFERROR(VLOOKUP($E70,'Lesson Bank'!$A:$L,4,FALSE)&amp;"","")</f>
        <v/>
      </c>
      <c r="H70" s="20">
        <f>IFERROR(VLOOKUP($E70,'Lesson Bank'!$A:$L,6,FALSE)&amp;"","")</f>
        <v/>
      </c>
      <c r="I70" s="20">
        <f>IFERROR(VLOOKUP($E70,'Lesson Bank'!$A:$L,8,FALSE)&amp;"","")</f>
        <v/>
      </c>
      <c r="J70" s="20">
        <f>IFERROR(VLOOKUP($E70,'Lesson Bank'!$A:$L,5,FALSE),$E70)</f>
        <v/>
      </c>
      <c r="K70" s="20" t="inlineStr"/>
      <c r="L70" s="20" t="inlineStr"/>
    </row>
    <row r="71">
      <c r="A71" s="27" t="n">
        <v>46496</v>
      </c>
      <c r="B71" s="20" t="inlineStr">
        <is>
          <t>Mon</t>
        </is>
      </c>
      <c r="C71" s="20" t="inlineStr">
        <is>
          <t>Q4</t>
        </is>
      </c>
      <c r="D71" s="20">
        <f>ROW()-1</f>
        <v/>
      </c>
      <c r="E71" s="24" t="inlineStr">
        <is>
          <t>U6-C1L2</t>
        </is>
      </c>
      <c r="F71" s="20">
        <f>IFERROR(VLOOKUP($E71,'Lesson Bank'!$A:$L,3,FALSE)&amp;"","")</f>
        <v/>
      </c>
      <c r="G71" s="20">
        <f>IFERROR(VLOOKUP($E71,'Lesson Bank'!$A:$L,4,FALSE)&amp;"","")</f>
        <v/>
      </c>
      <c r="H71" s="20">
        <f>IFERROR(VLOOKUP($E71,'Lesson Bank'!$A:$L,6,FALSE)&amp;"","")</f>
        <v/>
      </c>
      <c r="I71" s="20">
        <f>IFERROR(VLOOKUP($E71,'Lesson Bank'!$A:$L,8,FALSE)&amp;"","")</f>
        <v/>
      </c>
      <c r="J71" s="20">
        <f>IFERROR(VLOOKUP($E71,'Lesson Bank'!$A:$L,5,FALSE),$E71)</f>
        <v/>
      </c>
      <c r="K71" s="20" t="inlineStr"/>
      <c r="L71" s="20" t="inlineStr"/>
    </row>
    <row r="72">
      <c r="A72" s="27" t="n">
        <v>46498</v>
      </c>
      <c r="B72" s="20" t="inlineStr">
        <is>
          <t>Wed</t>
        </is>
      </c>
      <c r="C72" s="20" t="inlineStr">
        <is>
          <t>Q4</t>
        </is>
      </c>
      <c r="D72" s="20">
        <f>ROW()-1</f>
        <v/>
      </c>
      <c r="E72" s="24" t="inlineStr">
        <is>
          <t>U6-C1L3</t>
        </is>
      </c>
      <c r="F72" s="20">
        <f>IFERROR(VLOOKUP($E72,'Lesson Bank'!$A:$L,3,FALSE)&amp;"","")</f>
        <v/>
      </c>
      <c r="G72" s="20">
        <f>IFERROR(VLOOKUP($E72,'Lesson Bank'!$A:$L,4,FALSE)&amp;"","")</f>
        <v/>
      </c>
      <c r="H72" s="20">
        <f>IFERROR(VLOOKUP($E72,'Lesson Bank'!$A:$L,6,FALSE)&amp;"","")</f>
        <v/>
      </c>
      <c r="I72" s="20">
        <f>IFERROR(VLOOKUP($E72,'Lesson Bank'!$A:$L,8,FALSE)&amp;"","")</f>
        <v/>
      </c>
      <c r="J72" s="20">
        <f>IFERROR(VLOOKUP($E72,'Lesson Bank'!$A:$L,5,FALSE),$E72)</f>
        <v/>
      </c>
      <c r="K72" s="20" t="inlineStr"/>
      <c r="L72" s="20" t="inlineStr"/>
    </row>
    <row r="73">
      <c r="A73" s="27" t="n">
        <v>46500</v>
      </c>
      <c r="B73" s="20" t="inlineStr">
        <is>
          <t>Fri</t>
        </is>
      </c>
      <c r="C73" s="20" t="inlineStr">
        <is>
          <t>Q4</t>
        </is>
      </c>
      <c r="D73" s="20">
        <f>ROW()-1</f>
        <v/>
      </c>
      <c r="E73" s="24" t="inlineStr">
        <is>
          <t>U6-C1L4</t>
        </is>
      </c>
      <c r="F73" s="20">
        <f>IFERROR(VLOOKUP($E73,'Lesson Bank'!$A:$L,3,FALSE)&amp;"","")</f>
        <v/>
      </c>
      <c r="G73" s="20">
        <f>IFERROR(VLOOKUP($E73,'Lesson Bank'!$A:$L,4,FALSE)&amp;"","")</f>
        <v/>
      </c>
      <c r="H73" s="20">
        <f>IFERROR(VLOOKUP($E73,'Lesson Bank'!$A:$L,6,FALSE)&amp;"","")</f>
        <v/>
      </c>
      <c r="I73" s="20">
        <f>IFERROR(VLOOKUP($E73,'Lesson Bank'!$A:$L,8,FALSE)&amp;"","")</f>
        <v/>
      </c>
      <c r="J73" s="20">
        <f>IFERROR(VLOOKUP($E73,'Lesson Bank'!$A:$L,5,FALSE),$E73)</f>
        <v/>
      </c>
      <c r="K73" s="20" t="inlineStr"/>
      <c r="L73" s="20" t="inlineStr"/>
    </row>
    <row r="74">
      <c r="A74" s="27" t="n">
        <v>46504</v>
      </c>
      <c r="B74" s="20" t="inlineStr">
        <is>
          <t>Tue</t>
        </is>
      </c>
      <c r="C74" s="20" t="inlineStr">
        <is>
          <t>Q4</t>
        </is>
      </c>
      <c r="D74" s="20">
        <f>ROW()-1</f>
        <v/>
      </c>
      <c r="E74" s="24" t="inlineStr">
        <is>
          <t>U6-C1L5</t>
        </is>
      </c>
      <c r="F74" s="20">
        <f>IFERROR(VLOOKUP($E74,'Lesson Bank'!$A:$L,3,FALSE)&amp;"","")</f>
        <v/>
      </c>
      <c r="G74" s="20">
        <f>IFERROR(VLOOKUP($E74,'Lesson Bank'!$A:$L,4,FALSE)&amp;"","")</f>
        <v/>
      </c>
      <c r="H74" s="20">
        <f>IFERROR(VLOOKUP($E74,'Lesson Bank'!$A:$L,6,FALSE)&amp;"","")</f>
        <v/>
      </c>
      <c r="I74" s="20">
        <f>IFERROR(VLOOKUP($E74,'Lesson Bank'!$A:$L,8,FALSE)&amp;"","")</f>
        <v/>
      </c>
      <c r="J74" s="20">
        <f>IFERROR(VLOOKUP($E74,'Lesson Bank'!$A:$L,5,FALSE),$E74)</f>
        <v/>
      </c>
      <c r="K74" s="20" t="inlineStr"/>
      <c r="L74" s="20" t="inlineStr"/>
    </row>
    <row r="75">
      <c r="A75" s="27" t="n">
        <v>46506</v>
      </c>
      <c r="B75" s="20" t="inlineStr">
        <is>
          <t>Thu</t>
        </is>
      </c>
      <c r="C75" s="20" t="inlineStr">
        <is>
          <t>Q4</t>
        </is>
      </c>
      <c r="D75" s="20">
        <f>ROW()-1</f>
        <v/>
      </c>
      <c r="E75" s="24" t="inlineStr">
        <is>
          <t>U6-C2L1</t>
        </is>
      </c>
      <c r="F75" s="20">
        <f>IFERROR(VLOOKUP($E75,'Lesson Bank'!$A:$L,3,FALSE)&amp;"","")</f>
        <v/>
      </c>
      <c r="G75" s="20">
        <f>IFERROR(VLOOKUP($E75,'Lesson Bank'!$A:$L,4,FALSE)&amp;"","")</f>
        <v/>
      </c>
      <c r="H75" s="20">
        <f>IFERROR(VLOOKUP($E75,'Lesson Bank'!$A:$L,6,FALSE)&amp;"","")</f>
        <v/>
      </c>
      <c r="I75" s="20">
        <f>IFERROR(VLOOKUP($E75,'Lesson Bank'!$A:$L,8,FALSE)&amp;"","")</f>
        <v/>
      </c>
      <c r="J75" s="20">
        <f>IFERROR(VLOOKUP($E75,'Lesson Bank'!$A:$L,5,FALSE),$E75)</f>
        <v/>
      </c>
      <c r="K75" s="20" t="inlineStr"/>
      <c r="L75" s="20" t="inlineStr"/>
    </row>
    <row r="76">
      <c r="A76" s="27" t="n">
        <v>46510</v>
      </c>
      <c r="B76" s="20" t="inlineStr">
        <is>
          <t>Mon</t>
        </is>
      </c>
      <c r="C76" s="20" t="inlineStr">
        <is>
          <t>Q4</t>
        </is>
      </c>
      <c r="D76" s="20">
        <f>ROW()-1</f>
        <v/>
      </c>
      <c r="E76" s="24" t="inlineStr">
        <is>
          <t>U6-C2L2</t>
        </is>
      </c>
      <c r="F76" s="20">
        <f>IFERROR(VLOOKUP($E76,'Lesson Bank'!$A:$L,3,FALSE)&amp;"","")</f>
        <v/>
      </c>
      <c r="G76" s="20">
        <f>IFERROR(VLOOKUP($E76,'Lesson Bank'!$A:$L,4,FALSE)&amp;"","")</f>
        <v/>
      </c>
      <c r="H76" s="20">
        <f>IFERROR(VLOOKUP($E76,'Lesson Bank'!$A:$L,6,FALSE)&amp;"","")</f>
        <v/>
      </c>
      <c r="I76" s="20">
        <f>IFERROR(VLOOKUP($E76,'Lesson Bank'!$A:$L,8,FALSE)&amp;"","")</f>
        <v/>
      </c>
      <c r="J76" s="20">
        <f>IFERROR(VLOOKUP($E76,'Lesson Bank'!$A:$L,5,FALSE),$E76)</f>
        <v/>
      </c>
      <c r="K76" s="20" t="inlineStr"/>
      <c r="L76" s="20" t="inlineStr"/>
    </row>
    <row r="77">
      <c r="A77" s="27" t="n">
        <v>46512</v>
      </c>
      <c r="B77" s="20" t="inlineStr">
        <is>
          <t>Wed</t>
        </is>
      </c>
      <c r="C77" s="20" t="inlineStr">
        <is>
          <t>Q4</t>
        </is>
      </c>
      <c r="D77" s="20">
        <f>ROW()-1</f>
        <v/>
      </c>
      <c r="E77" s="24" t="inlineStr">
        <is>
          <t>U6-C2L3</t>
        </is>
      </c>
      <c r="F77" s="20">
        <f>IFERROR(VLOOKUP($E77,'Lesson Bank'!$A:$L,3,FALSE)&amp;"","")</f>
        <v/>
      </c>
      <c r="G77" s="20">
        <f>IFERROR(VLOOKUP($E77,'Lesson Bank'!$A:$L,4,FALSE)&amp;"","")</f>
        <v/>
      </c>
      <c r="H77" s="20">
        <f>IFERROR(VLOOKUP($E77,'Lesson Bank'!$A:$L,6,FALSE)&amp;"","")</f>
        <v/>
      </c>
      <c r="I77" s="20">
        <f>IFERROR(VLOOKUP($E77,'Lesson Bank'!$A:$L,8,FALSE)&amp;"","")</f>
        <v/>
      </c>
      <c r="J77" s="20">
        <f>IFERROR(VLOOKUP($E77,'Lesson Bank'!$A:$L,5,FALSE),$E77)</f>
        <v/>
      </c>
      <c r="K77" s="20" t="inlineStr"/>
      <c r="L77" s="20" t="inlineStr"/>
    </row>
    <row r="78">
      <c r="A78" s="27" t="n">
        <v>46514</v>
      </c>
      <c r="B78" s="20" t="inlineStr">
        <is>
          <t>Fri</t>
        </is>
      </c>
      <c r="C78" s="20" t="inlineStr">
        <is>
          <t>Q4</t>
        </is>
      </c>
      <c r="D78" s="20">
        <f>ROW()-1</f>
        <v/>
      </c>
      <c r="E78" s="24" t="inlineStr">
        <is>
          <t>U6-C2L4</t>
        </is>
      </c>
      <c r="F78" s="20">
        <f>IFERROR(VLOOKUP($E78,'Lesson Bank'!$A:$L,3,FALSE)&amp;"","")</f>
        <v/>
      </c>
      <c r="G78" s="20">
        <f>IFERROR(VLOOKUP($E78,'Lesson Bank'!$A:$L,4,FALSE)&amp;"","")</f>
        <v/>
      </c>
      <c r="H78" s="20">
        <f>IFERROR(VLOOKUP($E78,'Lesson Bank'!$A:$L,6,FALSE)&amp;"","")</f>
        <v/>
      </c>
      <c r="I78" s="20">
        <f>IFERROR(VLOOKUP($E78,'Lesson Bank'!$A:$L,8,FALSE)&amp;"","")</f>
        <v/>
      </c>
      <c r="J78" s="20">
        <f>IFERROR(VLOOKUP($E78,'Lesson Bank'!$A:$L,5,FALSE),$E78)</f>
        <v/>
      </c>
      <c r="K78" s="20" t="inlineStr"/>
      <c r="L78" s="20" t="inlineStr"/>
    </row>
    <row r="79">
      <c r="A79" s="27" t="n">
        <v>46518</v>
      </c>
      <c r="B79" s="20" t="inlineStr">
        <is>
          <t>Tue</t>
        </is>
      </c>
      <c r="C79" s="20" t="inlineStr">
        <is>
          <t>Q4</t>
        </is>
      </c>
      <c r="D79" s="20">
        <f>ROW()-1</f>
        <v/>
      </c>
      <c r="E79" s="24" t="inlineStr">
        <is>
          <t>U7-C1L1</t>
        </is>
      </c>
      <c r="F79" s="20">
        <f>IFERROR(VLOOKUP($E79,'Lesson Bank'!$A:$L,3,FALSE)&amp;"","")</f>
        <v/>
      </c>
      <c r="G79" s="20">
        <f>IFERROR(VLOOKUP($E79,'Lesson Bank'!$A:$L,4,FALSE)&amp;"","")</f>
        <v/>
      </c>
      <c r="H79" s="20">
        <f>IFERROR(VLOOKUP($E79,'Lesson Bank'!$A:$L,6,FALSE)&amp;"","")</f>
        <v/>
      </c>
      <c r="I79" s="20">
        <f>IFERROR(VLOOKUP($E79,'Lesson Bank'!$A:$L,8,FALSE)&amp;"","")</f>
        <v/>
      </c>
      <c r="J79" s="20">
        <f>IFERROR(VLOOKUP($E79,'Lesson Bank'!$A:$L,5,FALSE),$E79)</f>
        <v/>
      </c>
      <c r="K79" s="20" t="inlineStr"/>
      <c r="L79" s="20" t="inlineStr"/>
    </row>
    <row r="80">
      <c r="A80" s="27" t="n">
        <v>46520</v>
      </c>
      <c r="B80" s="20" t="inlineStr">
        <is>
          <t>Thu</t>
        </is>
      </c>
      <c r="C80" s="20" t="inlineStr">
        <is>
          <t>Q4</t>
        </is>
      </c>
      <c r="D80" s="20">
        <f>ROW()-1</f>
        <v/>
      </c>
      <c r="E80" s="24" t="inlineStr">
        <is>
          <t>U7-C1L2+3</t>
        </is>
      </c>
      <c r="F80" s="20">
        <f>IFERROR(VLOOKUP($E80,'Lesson Bank'!$A:$L,3,FALSE)&amp;"","")</f>
        <v/>
      </c>
      <c r="G80" s="20">
        <f>IFERROR(VLOOKUP($E80,'Lesson Bank'!$A:$L,4,FALSE)&amp;"","")</f>
        <v/>
      </c>
      <c r="H80" s="20">
        <f>IFERROR(VLOOKUP($E80,'Lesson Bank'!$A:$L,6,FALSE)&amp;"","")</f>
        <v/>
      </c>
      <c r="I80" s="20">
        <f>IFERROR(VLOOKUP($E80,'Lesson Bank'!$A:$L,8,FALSE)&amp;"","")</f>
        <v/>
      </c>
      <c r="J80" s="20">
        <f>IFERROR(VLOOKUP($E80,'Lesson Bank'!$A:$L,5,FALSE),$E80)</f>
        <v/>
      </c>
      <c r="K80" s="20" t="inlineStr"/>
      <c r="L80" s="20" t="inlineStr"/>
    </row>
    <row r="81">
      <c r="A81" s="27" t="n">
        <v>46524</v>
      </c>
      <c r="B81" s="20" t="inlineStr">
        <is>
          <t>Mon</t>
        </is>
      </c>
      <c r="C81" s="20" t="inlineStr">
        <is>
          <t>Q4</t>
        </is>
      </c>
      <c r="D81" s="20">
        <f>ROW()-1</f>
        <v/>
      </c>
      <c r="E81" s="24" t="inlineStr">
        <is>
          <t>Q4-MQ</t>
        </is>
      </c>
      <c r="F81" s="20">
        <f>IFERROR(VLOOKUP($E81,'Lesson Bank'!$A:$L,3,FALSE)&amp;"","")</f>
        <v/>
      </c>
      <c r="G81" s="20">
        <f>IFERROR(VLOOKUP($E81,'Lesson Bank'!$A:$L,4,FALSE)&amp;"","")</f>
        <v/>
      </c>
      <c r="H81" s="20">
        <f>IFERROR(VLOOKUP($E81,'Lesson Bank'!$A:$L,6,FALSE)&amp;"","")</f>
        <v/>
      </c>
      <c r="I81" s="20">
        <f>IFERROR(VLOOKUP($E81,'Lesson Bank'!$A:$L,8,FALSE)&amp;"","")</f>
        <v/>
      </c>
      <c r="J81" s="20">
        <f>IFERROR(VLOOKUP($E81,'Lesson Bank'!$A:$L,5,FALSE),$E81)</f>
        <v/>
      </c>
      <c r="K81" s="20" t="inlineStr"/>
      <c r="L81" s="20" t="inlineStr"/>
    </row>
    <row r="82">
      <c r="A82" s="27" t="n">
        <v>46526</v>
      </c>
      <c r="B82" s="20" t="inlineStr">
        <is>
          <t>Wed</t>
        </is>
      </c>
      <c r="C82" s="20" t="inlineStr">
        <is>
          <t>Q4</t>
        </is>
      </c>
      <c r="D82" s="20">
        <f>ROW()-1</f>
        <v/>
      </c>
      <c r="E82" s="24" t="inlineStr">
        <is>
          <t>U7-C1L4</t>
        </is>
      </c>
      <c r="F82" s="20">
        <f>IFERROR(VLOOKUP($E82,'Lesson Bank'!$A:$L,3,FALSE)&amp;"","")</f>
        <v/>
      </c>
      <c r="G82" s="20">
        <f>IFERROR(VLOOKUP($E82,'Lesson Bank'!$A:$L,4,FALSE)&amp;"","")</f>
        <v/>
      </c>
      <c r="H82" s="20">
        <f>IFERROR(VLOOKUP($E82,'Lesson Bank'!$A:$L,6,FALSE)&amp;"","")</f>
        <v/>
      </c>
      <c r="I82" s="20">
        <f>IFERROR(VLOOKUP($E82,'Lesson Bank'!$A:$L,8,FALSE)&amp;"","")</f>
        <v/>
      </c>
      <c r="J82" s="20">
        <f>IFERROR(VLOOKUP($E82,'Lesson Bank'!$A:$L,5,FALSE),$E82)</f>
        <v/>
      </c>
      <c r="K82" s="20" t="inlineStr"/>
      <c r="L82" s="20" t="inlineStr"/>
    </row>
    <row r="83">
      <c r="A83" s="27" t="n">
        <v>46528</v>
      </c>
      <c r="B83" s="20" t="inlineStr">
        <is>
          <t>Fri</t>
        </is>
      </c>
      <c r="C83" s="20" t="inlineStr">
        <is>
          <t>Q4</t>
        </is>
      </c>
      <c r="D83" s="20">
        <f>ROW()-1</f>
        <v/>
      </c>
      <c r="E83" s="24" t="inlineStr">
        <is>
          <t>U7-C1L5</t>
        </is>
      </c>
      <c r="F83" s="20">
        <f>IFERROR(VLOOKUP($E83,'Lesson Bank'!$A:$L,3,FALSE)&amp;"","")</f>
        <v/>
      </c>
      <c r="G83" s="20">
        <f>IFERROR(VLOOKUP($E83,'Lesson Bank'!$A:$L,4,FALSE)&amp;"","")</f>
        <v/>
      </c>
      <c r="H83" s="20">
        <f>IFERROR(VLOOKUP($E83,'Lesson Bank'!$A:$L,6,FALSE)&amp;"","")</f>
        <v/>
      </c>
      <c r="I83" s="20">
        <f>IFERROR(VLOOKUP($E83,'Lesson Bank'!$A:$L,8,FALSE)&amp;"","")</f>
        <v/>
      </c>
      <c r="J83" s="20">
        <f>IFERROR(VLOOKUP($E83,'Lesson Bank'!$A:$L,5,FALSE),$E83)</f>
        <v/>
      </c>
      <c r="K83" s="20" t="inlineStr"/>
      <c r="L83" s="20" t="inlineStr"/>
    </row>
    <row r="84">
      <c r="A84" s="27" t="n">
        <v>46532</v>
      </c>
      <c r="B84" s="20" t="inlineStr">
        <is>
          <t>Tue</t>
        </is>
      </c>
      <c r="C84" s="20" t="inlineStr">
        <is>
          <t>Q4</t>
        </is>
      </c>
      <c r="D84" s="20">
        <f>ROW()-1</f>
        <v/>
      </c>
      <c r="E84" s="24" t="inlineStr">
        <is>
          <t>U7-C2L1</t>
        </is>
      </c>
      <c r="F84" s="20">
        <f>IFERROR(VLOOKUP($E84,'Lesson Bank'!$A:$L,3,FALSE)&amp;"","")</f>
        <v/>
      </c>
      <c r="G84" s="20">
        <f>IFERROR(VLOOKUP($E84,'Lesson Bank'!$A:$L,4,FALSE)&amp;"","")</f>
        <v/>
      </c>
      <c r="H84" s="20">
        <f>IFERROR(VLOOKUP($E84,'Lesson Bank'!$A:$L,6,FALSE)&amp;"","")</f>
        <v/>
      </c>
      <c r="I84" s="20">
        <f>IFERROR(VLOOKUP($E84,'Lesson Bank'!$A:$L,8,FALSE)&amp;"","")</f>
        <v/>
      </c>
      <c r="J84" s="20">
        <f>IFERROR(VLOOKUP($E84,'Lesson Bank'!$A:$L,5,FALSE),$E84)</f>
        <v/>
      </c>
      <c r="K84" s="20" t="inlineStr"/>
      <c r="L84" s="20" t="inlineStr"/>
    </row>
    <row r="85">
      <c r="A85" s="27" t="n">
        <v>46534</v>
      </c>
      <c r="B85" s="20" t="inlineStr">
        <is>
          <t>Thu</t>
        </is>
      </c>
      <c r="C85" s="20" t="inlineStr">
        <is>
          <t>Q4</t>
        </is>
      </c>
      <c r="D85" s="20">
        <f>ROW()-1</f>
        <v/>
      </c>
      <c r="E85" s="24" t="inlineStr">
        <is>
          <t>U7-C2L2</t>
        </is>
      </c>
      <c r="F85" s="20">
        <f>IFERROR(VLOOKUP($E85,'Lesson Bank'!$A:$L,3,FALSE)&amp;"","")</f>
        <v/>
      </c>
      <c r="G85" s="20">
        <f>IFERROR(VLOOKUP($E85,'Lesson Bank'!$A:$L,4,FALSE)&amp;"","")</f>
        <v/>
      </c>
      <c r="H85" s="20">
        <f>IFERROR(VLOOKUP($E85,'Lesson Bank'!$A:$L,6,FALSE)&amp;"","")</f>
        <v/>
      </c>
      <c r="I85" s="20">
        <f>IFERROR(VLOOKUP($E85,'Lesson Bank'!$A:$L,8,FALSE)&amp;"","")</f>
        <v/>
      </c>
      <c r="J85" s="20">
        <f>IFERROR(VLOOKUP($E85,'Lesson Bank'!$A:$L,5,FALSE),$E85)</f>
        <v/>
      </c>
      <c r="K85" s="20" t="inlineStr"/>
      <c r="L85" s="20" t="inlineStr"/>
    </row>
    <row r="86">
      <c r="A86" s="27" t="n">
        <v>46539</v>
      </c>
      <c r="B86" s="20" t="inlineStr">
        <is>
          <t>Tue</t>
        </is>
      </c>
      <c r="C86" s="20" t="inlineStr">
        <is>
          <t>Q4</t>
        </is>
      </c>
      <c r="D86" s="20">
        <f>ROW()-1</f>
        <v/>
      </c>
      <c r="E86" s="24" t="inlineStr">
        <is>
          <t>U7-C2L3</t>
        </is>
      </c>
      <c r="F86" s="20">
        <f>IFERROR(VLOOKUP($E86,'Lesson Bank'!$A:$L,3,FALSE)&amp;"","")</f>
        <v/>
      </c>
      <c r="G86" s="20">
        <f>IFERROR(VLOOKUP($E86,'Lesson Bank'!$A:$L,4,FALSE)&amp;"","")</f>
        <v/>
      </c>
      <c r="H86" s="20">
        <f>IFERROR(VLOOKUP($E86,'Lesson Bank'!$A:$L,6,FALSE)&amp;"","")</f>
        <v/>
      </c>
      <c r="I86" s="20">
        <f>IFERROR(VLOOKUP($E86,'Lesson Bank'!$A:$L,8,FALSE)&amp;"","")</f>
        <v/>
      </c>
      <c r="J86" s="20">
        <f>IFERROR(VLOOKUP($E86,'Lesson Bank'!$A:$L,5,FALSE),$E86)</f>
        <v/>
      </c>
      <c r="K86" s="20" t="inlineStr"/>
      <c r="L86" s="20" t="inlineStr"/>
    </row>
    <row r="87">
      <c r="A87" s="27" t="n">
        <v>46541</v>
      </c>
      <c r="B87" s="20" t="inlineStr">
        <is>
          <t>Thu</t>
        </is>
      </c>
      <c r="C87" s="20" t="inlineStr">
        <is>
          <t>Q4</t>
        </is>
      </c>
      <c r="D87" s="20">
        <f>ROW()-1</f>
        <v/>
      </c>
      <c r="E87" s="24" t="inlineStr">
        <is>
          <t>Q4-BM</t>
        </is>
      </c>
      <c r="F87" s="20">
        <f>IFERROR(VLOOKUP($E87,'Lesson Bank'!$A:$L,3,FALSE)&amp;"","")</f>
        <v/>
      </c>
      <c r="G87" s="20">
        <f>IFERROR(VLOOKUP($E87,'Lesson Bank'!$A:$L,4,FALSE)&amp;"","")</f>
        <v/>
      </c>
      <c r="H87" s="20">
        <f>IFERROR(VLOOKUP($E87,'Lesson Bank'!$A:$L,6,FALSE)&amp;"","")</f>
        <v/>
      </c>
      <c r="I87" s="20">
        <f>IFERROR(VLOOKUP($E87,'Lesson Bank'!$A:$L,8,FALSE)&amp;"","")</f>
        <v/>
      </c>
      <c r="J87" s="20">
        <f>IFERROR(VLOOKUP($E87,'Lesson Bank'!$A:$L,5,FALSE),$E87)</f>
        <v/>
      </c>
      <c r="K87" s="20" t="inlineStr">
        <is>
          <t>Last regular class day</t>
        </is>
      </c>
      <c r="L87" s="20" t="inlineStr"/>
    </row>
  </sheetData>
  <conditionalFormatting sqref="B2:D287">
    <cfRule type="expression" priority="1" dxfId="0">
      <formula>OR(LEFT($E2,1)="Q",$E2="LPA")</formula>
    </cfRule>
  </conditionalFormatting>
  <conditionalFormatting sqref="F2:J287">
    <cfRule type="expression" priority="2" dxfId="1">
      <formula>OR(LEFT($E2,1)="Q",$E2="LPA")</formula>
    </cfRule>
  </conditionalFormatting>
  <dataValidations count="1">
    <dataValidation sqref="E2:E287" showDropDown="0" showInputMessage="0" showErrorMessage="0" allowBlank="1" type="list">
      <formula1>='Lesson Bank'!$A$2:$A$300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32" customWidth="1" min="1" max="1"/>
    <col width="13" customWidth="1" min="2" max="2"/>
    <col width="13" customWidth="1" min="3" max="3"/>
    <col width="13" customWidth="1" min="4" max="4"/>
    <col width="13" customWidth="1" min="5" max="5"/>
    <col width="40" customWidth="1" min="6" max="6"/>
    <col width="3" customWidth="1" min="7" max="7"/>
    <col width="14" customWidth="1" min="8" max="8"/>
    <col width="44" customWidth="1" min="9" max="9"/>
  </cols>
  <sheetData>
    <row r="1">
      <c r="A1" s="19" t="inlineStr">
        <is>
          <t>Assessment</t>
        </is>
      </c>
      <c r="B1" s="19" t="inlineStr">
        <is>
          <t>Window start</t>
        </is>
      </c>
      <c r="C1" s="19" t="inlineStr">
        <is>
          <t>Window end</t>
        </is>
      </c>
      <c r="D1" s="19" t="inlineStr">
        <is>
          <t>Purple date</t>
        </is>
      </c>
      <c r="E1" s="19" t="inlineStr">
        <is>
          <t>Gold date</t>
        </is>
      </c>
      <c r="F1" s="19" t="inlineStr">
        <is>
          <t>Planned near (unit guide)</t>
        </is>
      </c>
      <c r="H1" s="19" t="inlineStr">
        <is>
          <t>Exam or test date</t>
        </is>
      </c>
      <c r="I1" s="19" t="inlineStr">
        <is>
          <t>Exam shown on calendar</t>
        </is>
      </c>
    </row>
    <row r="2">
      <c r="A2" s="20" t="inlineStr">
        <is>
          <t>Q1 English 9 Mid-Quarter (MQ)</t>
        </is>
      </c>
      <c r="B2" s="28" t="n">
        <v>46288</v>
      </c>
      <c r="C2" s="28" t="n">
        <v>46301</v>
      </c>
      <c r="D2" s="29" t="n">
        <v>46288</v>
      </c>
      <c r="E2" s="30" t="n">
        <v>46289</v>
      </c>
      <c r="F2" s="20" t="inlineStr">
        <is>
          <t>U1 W4L2: Learn key elements to evaluate clarity and accuracy in infor</t>
        </is>
      </c>
      <c r="H2" s="31" t="n">
        <v>46407</v>
      </c>
      <c r="I2" s="32" t="inlineStr">
        <is>
          <t>Midyear exams: Math, Sci, Soc. St.</t>
        </is>
      </c>
    </row>
    <row r="3">
      <c r="A3" s="20" t="inlineStr">
        <is>
          <t>Q1 English 9 Benchmark</t>
        </is>
      </c>
      <c r="B3" s="28" t="n">
        <v>46323</v>
      </c>
      <c r="C3" s="28" t="n">
        <v>46337</v>
      </c>
      <c r="D3" s="29" t="n">
        <v>46323</v>
      </c>
      <c r="E3" s="30" t="n">
        <v>46324</v>
      </c>
      <c r="F3" s="20" t="inlineStr">
        <is>
          <t xml:space="preserve">U2 C3L1: Use my rough draft and my notes to type a final draft of my </t>
        </is>
      </c>
      <c r="H3" s="31" t="n">
        <v>46408</v>
      </c>
      <c r="I3" s="32" t="inlineStr">
        <is>
          <t>Midyear exams: Math, Sci, Soc. St.</t>
        </is>
      </c>
    </row>
    <row r="4">
      <c r="A4" s="20" t="inlineStr">
        <is>
          <t>Q2 English 9 Mid-Quarter (MQ)</t>
        </is>
      </c>
      <c r="B4" s="28" t="n">
        <v>46363</v>
      </c>
      <c r="C4" s="28" t="n">
        <v>46374</v>
      </c>
      <c r="D4" s="29" t="n">
        <v>46363</v>
      </c>
      <c r="E4" s="30" t="n">
        <v>46364</v>
      </c>
      <c r="F4" s="20" t="inlineStr">
        <is>
          <t>U3 C2L5: Learn poetic devices, then read and annotate “Siren Song” by</t>
        </is>
      </c>
      <c r="H4" s="31" t="n">
        <v>46409</v>
      </c>
      <c r="I4" s="32" t="inlineStr">
        <is>
          <t>Midyear exams: Math, Sci, Soc. St.</t>
        </is>
      </c>
    </row>
    <row r="5">
      <c r="A5" s="20" t="inlineStr">
        <is>
          <t>Q2 English 9 Benchmark</t>
        </is>
      </c>
      <c r="B5" s="28" t="n">
        <v>46406</v>
      </c>
      <c r="C5" s="28" t="n">
        <v>46421</v>
      </c>
      <c r="D5" s="29" t="n">
        <v>46414</v>
      </c>
      <c r="E5" s="30" t="n">
        <v>46406</v>
      </c>
      <c r="F5" s="20" t="inlineStr">
        <is>
          <t>U4 C2L1: Read and analyze The Scarlet Ibis to determine the impact of</t>
        </is>
      </c>
      <c r="H5" s="31" t="n">
        <v>46526</v>
      </c>
      <c r="I5" s="32" t="inlineStr">
        <is>
          <t>Reading SOL</t>
        </is>
      </c>
    </row>
    <row r="6">
      <c r="A6" s="20" t="inlineStr">
        <is>
          <t>LPA (Grades 9-11)</t>
        </is>
      </c>
      <c r="B6" s="28" t="n">
        <v>46426</v>
      </c>
      <c r="C6" s="28" t="n">
        <v>46430</v>
      </c>
      <c r="D6" s="29" t="n">
        <v>46426</v>
      </c>
      <c r="E6" s="30" t="n">
        <v>46427</v>
      </c>
      <c r="F6" s="20" t="inlineStr"/>
      <c r="H6" s="31" t="n">
        <v>46527</v>
      </c>
      <c r="I6" s="32" t="inlineStr">
        <is>
          <t>History SOL</t>
        </is>
      </c>
    </row>
    <row r="7">
      <c r="A7" s="20" t="inlineStr">
        <is>
          <t>Q3 English 9 Mid-Quarter (MQ)</t>
        </is>
      </c>
      <c r="B7" s="28" t="n">
        <v>46442</v>
      </c>
      <c r="C7" s="28" t="n">
        <v>46455</v>
      </c>
      <c r="D7" s="29" t="n">
        <v>46455</v>
      </c>
      <c r="E7" s="30" t="n">
        <v>46454</v>
      </c>
      <c r="F7" s="20" t="inlineStr">
        <is>
          <t>U5 C4L1: Explain how characters advance the plot and themes in a nove</t>
        </is>
      </c>
      <c r="H7" s="31" t="n">
        <v>46532</v>
      </c>
      <c r="I7" s="32" t="inlineStr">
        <is>
          <t>Math SOL</t>
        </is>
      </c>
    </row>
    <row r="8">
      <c r="A8" s="20" t="inlineStr">
        <is>
          <t>Q3 English 9 Benchmark</t>
        </is>
      </c>
      <c r="B8" s="28" t="n">
        <v>46475</v>
      </c>
      <c r="C8" s="28" t="n">
        <v>46496</v>
      </c>
      <c r="D8" s="29" t="n">
        <v>46475</v>
      </c>
      <c r="E8" s="30" t="n">
        <v>46476</v>
      </c>
      <c r="F8" s="20" t="inlineStr">
        <is>
          <t>U5 C5L2: Examine and analyze the characteristics of literature that c</t>
        </is>
      </c>
      <c r="H8" s="31" t="n">
        <v>46533</v>
      </c>
      <c r="I8" s="32" t="inlineStr">
        <is>
          <t>Science SOL</t>
        </is>
      </c>
    </row>
    <row r="9">
      <c r="A9" s="20" t="inlineStr">
        <is>
          <t>Q4 English 9 Mid-Quarter (MQ)</t>
        </is>
      </c>
      <c r="B9" s="28" t="n">
        <v>46524</v>
      </c>
      <c r="C9" s="28" t="n">
        <v>46535</v>
      </c>
      <c r="D9" s="29" t="n">
        <v>46525</v>
      </c>
      <c r="E9" s="30" t="n">
        <v>46524</v>
      </c>
      <c r="F9" s="20" t="inlineStr">
        <is>
          <t>U6 C2L4: Plan and organize my writing.</t>
        </is>
      </c>
      <c r="H9" s="31" t="n">
        <v>46542</v>
      </c>
      <c r="I9" s="32" t="inlineStr">
        <is>
          <t>Final exams: Math, Sci, Soc. St.</t>
        </is>
      </c>
    </row>
    <row r="10">
      <c r="A10" s="20" t="inlineStr">
        <is>
          <t>Q4 English 9 Benchmark</t>
        </is>
      </c>
      <c r="B10" s="28" t="n">
        <v>46541</v>
      </c>
      <c r="C10" s="28" t="n">
        <v>46554</v>
      </c>
      <c r="D10" s="33" t="n">
        <v>46542</v>
      </c>
      <c r="E10" s="30" t="n">
        <v>46541</v>
      </c>
      <c r="F10" s="20" t="inlineStr">
        <is>
          <t>U7 C2L3: Engage in reading, writing, research, and discussion to exam</t>
        </is>
      </c>
      <c r="H10" s="31" t="n">
        <v>46545</v>
      </c>
      <c r="I10" s="32" t="inlineStr">
        <is>
          <t>Final exams: Math, Sci, Soc. St.</t>
        </is>
      </c>
    </row>
    <row r="11">
      <c r="H11" s="31" t="n">
        <v>46546</v>
      </c>
      <c r="I11" s="32" t="inlineStr">
        <is>
          <t>Final exams: Math, Sci, Soc. St.</t>
        </is>
      </c>
    </row>
    <row r="12">
      <c r="A12" s="34" t="inlineStr">
        <is>
          <t>Other testing that may pull students (from the NNPS testing calendar)</t>
        </is>
      </c>
    </row>
    <row r="13">
      <c r="A13" s="35" t="inlineStr">
        <is>
          <t>LPA (Grade 9 retake)</t>
        </is>
      </c>
      <c r="B13" s="35" t="inlineStr">
        <is>
          <t>11/16/2026</t>
        </is>
      </c>
      <c r="C13" s="35" t="inlineStr">
        <is>
          <t>11/20/2026</t>
        </is>
      </c>
      <c r="H13" s="36" t="inlineStr">
        <is>
          <t>Edit or add rows here and the Year at a Glance tab updates. The testing calendar does not say which subject is on which exam day; type the subject once the exam schedule is out.</t>
        </is>
      </c>
    </row>
    <row r="14">
      <c r="A14" s="35" t="inlineStr">
        <is>
          <t>Fall SOL non-writing</t>
        </is>
      </c>
      <c r="B14" s="35" t="inlineStr">
        <is>
          <t>11/30/2026</t>
        </is>
      </c>
      <c r="C14" s="35" t="inlineStr">
        <is>
          <t>12/11/2026</t>
        </is>
      </c>
    </row>
    <row r="15">
      <c r="A15" s="35" t="inlineStr">
        <is>
          <t>WIDA</t>
        </is>
      </c>
      <c r="B15" s="35" t="inlineStr">
        <is>
          <t>1/11/2027</t>
        </is>
      </c>
      <c r="C15" s="35" t="inlineStr">
        <is>
          <t>3/19/2027</t>
        </is>
      </c>
    </row>
    <row r="16">
      <c r="A16" s="35" t="inlineStr">
        <is>
          <t>Expedited retakes, all content</t>
        </is>
      </c>
      <c r="B16" s="35" t="inlineStr">
        <is>
          <t>6/1/2027</t>
        </is>
      </c>
      <c r="C16" s="35" t="inlineStr">
        <is>
          <t>6/4/2027</t>
        </is>
      </c>
    </row>
  </sheetData>
  <mergeCells count="1">
    <mergeCell ref="H13:I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2026-10-06T18:58:32Z</dcterms:created>
  <dcterms:modified xmlns:dcterms="http://purl.org/dc/terms/" xmlns:xsi="http://www.w3.org/2001/XMLSchema-instance" xsi:type="dcterms:W3CDTF">2026-10-06T18:58:32Z</dcterms:modified>
</cp:coreProperties>
</file>